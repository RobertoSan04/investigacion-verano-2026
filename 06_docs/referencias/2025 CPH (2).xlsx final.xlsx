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6"/>
  </bookViews>
  <sheets>
    <sheet name="Hoja1" sheetId="1" r:id="rId1"/>
    <sheet name="carpeta " sheetId="15" r:id="rId2"/>
    <sheet name="R. TRIMESTRAL" sheetId="14" r:id="rId3"/>
    <sheet name="ESTADÍSTICA FACT" sheetId="6" r:id="rId4"/>
    <sheet name="OTROS" sheetId="2" r:id="rId5"/>
    <sheet name="H. CENTRA" sheetId="10" r:id="rId6"/>
    <sheet name="ESTADÍSTICA GRAL" sheetId="13" r:id="rId7"/>
    <sheet name="CPH " sheetId="7" r:id="rId8"/>
  </sheets>
  <definedNames>
    <definedName name="_xlnm._FilterDatabase" localSheetId="5" hidden="1">'H. CENTRA'!$A$1:$BG$19</definedName>
    <definedName name="_xlnm._FilterDatabase" localSheetId="0" hidden="1">Hoja1!$A$1:$CM$123</definedName>
    <definedName name="_xlnm._FilterDatabase" localSheetId="2" hidden="1">'R. TRIMESTRAL'!$A$109:$CK$117</definedName>
    <definedName name="_xlnm.Print_Area" localSheetId="0">Hoja1!$A$1:$CM$118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Usuario</author>
  </authors>
  <commentList>
    <comment ref="K6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2 DÍAS</t>
        </r>
      </text>
    </comment>
    <comment ref="K7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2 DÍAS</t>
        </r>
      </text>
    </comment>
    <comment ref="AO9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CARGA VIRAL NO DETECTADO</t>
        </r>
      </text>
    </comment>
    <comment ref="K11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2 DÍAS CICLOFOSFAMIDA</t>
        </r>
      </text>
    </comment>
    <comment ref="K12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2 DÍAS</t>
        </r>
      </text>
    </comment>
    <comment ref="K1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2 DÍAS</t>
        </r>
      </text>
    </comment>
    <comment ref="K1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2 DÍAS</t>
        </r>
      </text>
    </comment>
    <comment ref="K15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2 DÍAS</t>
        </r>
      </text>
    </comment>
    <comment ref="N15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1 DOSIS DE PLERIXAFOR (24 mg) 24 HORAS PREVIAS
</t>
        </r>
      </text>
    </comment>
    <comment ref="K20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2 DÍAS</t>
        </r>
      </text>
    </comment>
    <comment ref="K2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DÍAS</t>
        </r>
      </text>
    </comment>
    <comment ref="K25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2 DÍAS</t>
        </r>
      </text>
    </comment>
    <comment ref="K27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2 DÍAS
</t>
        </r>
      </text>
    </comment>
    <comment ref="K29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2 DÍAS
</t>
        </r>
      </text>
    </comment>
    <comment ref="K31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2 DÍAS
</t>
        </r>
      </text>
    </comment>
    <comment ref="K40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2 DÍAS</t>
        </r>
      </text>
    </comment>
    <comment ref="K41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2 DÍAS</t>
        </r>
      </text>
    </comment>
    <comment ref="K42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2 DÍAS</t>
        </r>
      </text>
    </comment>
    <comment ref="K46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2 DÍAS</t>
        </r>
      </text>
    </comment>
    <comment ref="K47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2 DÍAS</t>
        </r>
      </text>
    </comment>
    <comment ref="K6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2 DÍAS</t>
        </r>
      </text>
    </comment>
    <comment ref="K6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2 DÍAS</t>
        </r>
      </text>
    </comment>
    <comment ref="AM67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DIRECTO: DOBLE POBLACIÓN ERITROCITOS A Y O. 
INVERSO: A</t>
        </r>
      </text>
    </comment>
    <comment ref="K68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X 2 DÍAS</t>
        </r>
      </text>
    </comment>
    <comment ref="AH68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PREVIO A LA RECOLECCIÓN</t>
        </r>
      </text>
    </comment>
    <comment ref="E71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1ER RECOLECCIÓN EN HZH EL 29/07/2025
</t>
        </r>
      </text>
    </comment>
    <comment ref="K7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2 DÍAS</t>
        </r>
      </text>
    </comment>
    <comment ref="AD7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CATÉTER TRANSLUMBAR. PALINDROME DIALYSIS CATHETER</t>
        </r>
      </text>
    </comment>
    <comment ref="AH7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CATÉTER DISFUNCIONAL
</t>
        </r>
      </text>
    </comment>
    <comment ref="K7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2 DÍAS</t>
        </r>
      </text>
    </comment>
    <comment ref="AV7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MO</t>
        </r>
      </text>
    </comment>
    <comment ref="AW7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MO</t>
        </r>
      </text>
    </comment>
    <comment ref="AX7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MO</t>
        </r>
      </text>
    </comment>
    <comment ref="AZ7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MO</t>
        </r>
      </text>
    </comment>
    <comment ref="BA7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MO</t>
        </r>
      </text>
    </comment>
    <comment ref="BB7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MO
</t>
        </r>
      </text>
    </comment>
    <comment ref="AK75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TREPONEMA +
INICIA TX CON PENICILINA
</t>
        </r>
      </text>
    </comment>
    <comment ref="AN75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TREPONEMA +
INICIA TX CON PENICILINA
</t>
        </r>
      </text>
    </comment>
    <comment ref="AK77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TREPONEMA +
INICIA TX DONADOR Y RECEPTOR</t>
        </r>
      </text>
    </comment>
    <comment ref="AK82" authorId="0">
      <text>
        <r>
          <rPr>
            <b/>
            <sz val="9"/>
            <rFont val="Tahoma"/>
            <charset val="134"/>
          </rPr>
          <t>Usuario:
TREPONEMA 24.12 
VDRL NEGATIVO</t>
        </r>
      </text>
    </comment>
    <comment ref="K8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
</t>
        </r>
      </text>
    </comment>
    <comment ref="K8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
</t>
        </r>
      </text>
    </comment>
    <comment ref="K9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
</t>
        </r>
      </text>
    </comment>
    <comment ref="K9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
</t>
        </r>
      </text>
    </comment>
    <comment ref="AH95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SANGRADO CVC Y MÉDICO RESPONSABLE DE LA COLOCACIÓN LO RETIRA. CRISIS HIPERTENSIVA Px Tx CON NIFEDIPINO 10 mg EN AM; MÉDICO TRATANTE ADMINISTRA DOSIS ADICIONAL DE NIFEDIPINO, SE HIPOTENSA Y SE INICIA ADMINISTRACIÓN DE SOL´N FISIOLÓGICA Y HARTMAN</t>
        </r>
      </text>
    </comment>
    <comment ref="K96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
</t>
        </r>
      </text>
    </comment>
    <comment ref="K97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
</t>
        </r>
      </text>
    </comment>
    <comment ref="AV105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NO REGISTRADO EN EL SISTEMA</t>
        </r>
      </text>
    </comment>
    <comment ref="AW105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NO REGISTRADO EN EL SISTEMA</t>
        </r>
      </text>
    </comment>
    <comment ref="AZ105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NO REGISTRADO EN EL SISTEMA</t>
        </r>
      </text>
    </comment>
    <comment ref="BA105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NO REGISTRADO EN EL SISTEMA</t>
        </r>
      </text>
    </comment>
    <comment ref="BB105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NO REGISTRADO EN EL SISTEMA</t>
        </r>
      </text>
    </comment>
    <comment ref="K108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
</t>
        </r>
      </text>
    </comment>
    <comment ref="K109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
</t>
        </r>
      </text>
    </comment>
    <comment ref="K110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
</t>
        </r>
      </text>
    </comment>
    <comment ref="K11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
</t>
        </r>
      </text>
    </comment>
    <comment ref="M116" authorId="0">
      <text>
        <r>
          <rPr>
            <b/>
            <sz val="9"/>
            <rFont val="Tahoma"/>
            <charset val="1"/>
          </rPr>
          <t>Usuario:</t>
        </r>
        <r>
          <rPr>
            <sz val="9"/>
            <rFont val="Tahoma"/>
            <charset val="1"/>
          </rPr>
          <t xml:space="preserve">
ESTIMULACIÓN DEL 10/12/2025 AL 14/12/2025
SE COLOCA UNA DOSIS ADICIONAL EL DÍA DEL PROCEDIMIENTO (16/12/2025)
</t>
        </r>
      </text>
    </comment>
  </commentList>
</comments>
</file>

<file path=xl/comments2.xml><?xml version="1.0" encoding="utf-8"?>
<comments xmlns="http://schemas.openxmlformats.org/spreadsheetml/2006/main">
  <authors>
    <author>Usuario</author>
  </authors>
  <commentList>
    <comment ref="K6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DÍAS</t>
        </r>
      </text>
    </comment>
    <comment ref="K7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2 DÍAS CICLOFOSFAMIDA</t>
        </r>
      </text>
    </comment>
    <comment ref="K10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POR DÍAS</t>
        </r>
      </text>
    </comment>
    <comment ref="K12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2 DÍAS
</t>
        </r>
      </text>
    </comment>
    <comment ref="K1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2 DÍAS
</t>
        </r>
      </text>
    </comment>
    <comment ref="AO25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CARGA VIRAL NO DETECTADO</t>
        </r>
      </text>
    </comment>
    <comment ref="K6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 X 2 DÍAS</t>
        </r>
      </text>
    </comment>
    <comment ref="AH6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PREVIO A LA RECOLECCIÓN</t>
        </r>
      </text>
    </comment>
    <comment ref="AM80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DIRECTO: DOBLE POBLACIÓN ERITROCITOS A Y O. 
INVERSO: A</t>
        </r>
      </text>
    </comment>
    <comment ref="AK8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TREPONEMA +
INICIA TX DONADOR Y RECEPTOR</t>
        </r>
      </text>
    </comment>
    <comment ref="AK88" authorId="0">
      <text>
        <r>
          <rPr>
            <b/>
            <sz val="9"/>
            <rFont val="Tahoma"/>
            <charset val="134"/>
          </rPr>
          <t>Usuario:
TREPONEMA 24.12 
VDRL NEGATIVO</t>
        </r>
      </text>
    </comment>
    <comment ref="K97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CICLOFOSFAMIDA
</t>
        </r>
      </text>
    </comment>
    <comment ref="M98" authorId="0">
      <text>
        <r>
          <rPr>
            <b/>
            <sz val="9"/>
            <rFont val="Tahoma"/>
            <charset val="1"/>
          </rPr>
          <t>Usuario:</t>
        </r>
        <r>
          <rPr>
            <sz val="9"/>
            <rFont val="Tahoma"/>
            <charset val="1"/>
          </rPr>
          <t xml:space="preserve">
ESTIMULACIÓN DEL 10/12/2025 AL 14/12/2025
SE COLOCA UNA DOSIS ADICIONAL EL DÍA DEL PROCEDIMIENTO (16/12/2025)
</t>
        </r>
      </text>
    </comment>
    <comment ref="AV11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NO REGISTRADO EN EL SISTEMA</t>
        </r>
      </text>
    </comment>
    <comment ref="AW11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NO REGISTRADO EN EL SISTEMA</t>
        </r>
      </text>
    </comment>
    <comment ref="AY11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NO REGISTRADO EN EL SISTEMA</t>
        </r>
      </text>
    </comment>
    <comment ref="AZ11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NO REGISTRADO EN EL SISTEMA</t>
        </r>
      </text>
    </comment>
    <comment ref="BA11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NO REGISTRADO EN EL SISTEMA</t>
        </r>
      </text>
    </comment>
  </commentList>
</comments>
</file>

<file path=xl/comments3.xml><?xml version="1.0" encoding="utf-8"?>
<comments xmlns="http://schemas.openxmlformats.org/spreadsheetml/2006/main">
  <authors>
    <author>Usuario</author>
  </authors>
  <commentList>
    <comment ref="L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GRUPO PRE TRASPLANTE: A NEGATIVO
PREVIO A DLI
GRUPO DIRECTO: DOBLE POBLACIÓN CÉLULAS "A" y "O"
GRUPO INVERSO: A</t>
        </r>
      </text>
    </comment>
    <comment ref="V3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CUANTIFICADO POSTERIOR AL FRACCIONAMIENTO
</t>
        </r>
      </text>
    </comment>
    <comment ref="L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GRUPO PRE TRASPLANTE: A NEGATIVO
PREVIO A DLI
GRUPO DIRECTO: DOBLE POBLACIÓN CÉLULAS "A" y "O"
GRUPO INVERSO: A</t>
        </r>
      </text>
    </comment>
    <comment ref="V4" authorId="0">
      <text>
        <r>
          <rPr>
            <b/>
            <sz val="9"/>
            <rFont val="Tahoma"/>
            <charset val="134"/>
          </rPr>
          <t>Usuario:</t>
        </r>
        <r>
          <rPr>
            <sz val="9"/>
            <rFont val="Tahoma"/>
            <charset val="134"/>
          </rPr>
          <t xml:space="preserve">
CUANTIFICADO POSTERIOR AL FRACCIONAMIENTO</t>
        </r>
      </text>
    </comment>
    <comment ref="V5" authorId="0">
      <text>
        <r>
          <rPr>
            <b/>
            <sz val="9"/>
            <rFont val="Tahoma"/>
            <charset val="1"/>
          </rPr>
          <t>Usuario:</t>
        </r>
        <r>
          <rPr>
            <sz val="9"/>
            <rFont val="Tahoma"/>
            <charset val="1"/>
          </rPr>
          <t xml:space="preserve">
CUANTIFICADO PREVIO AL FRACCIONAMIENTO</t>
        </r>
      </text>
    </comment>
  </commentList>
</comments>
</file>

<file path=xl/comments4.xml><?xml version="1.0" encoding="utf-8"?>
<comments xmlns="http://schemas.openxmlformats.org/spreadsheetml/2006/main">
  <authors>
    <author>Lab</author>
  </authors>
  <commentList>
    <comment ref="I8" authorId="0">
      <text>
        <r>
          <rPr>
            <b/>
            <sz val="9"/>
            <rFont val="Tahoma"/>
            <charset val="134"/>
          </rPr>
          <t>Lab:</t>
        </r>
        <r>
          <rPr>
            <sz val="9"/>
            <rFont val="Tahoma"/>
            <charset val="134"/>
          </rPr>
          <t xml:space="preserve">
TX LONGEVIDAD
</t>
        </r>
      </text>
    </comment>
  </commentList>
</comments>
</file>

<file path=xl/sharedStrings.xml><?xml version="1.0" encoding="utf-8"?>
<sst xmlns="http://schemas.openxmlformats.org/spreadsheetml/2006/main" count="6137" uniqueCount="320">
  <si>
    <t>FECHA</t>
  </si>
  <si>
    <t>FOLIO</t>
  </si>
  <si>
    <t>DONADOR</t>
  </si>
  <si>
    <t>RECEPTOR</t>
  </si>
  <si>
    <t>NO. DE RECOLECCIÓN</t>
  </si>
  <si>
    <t>SEXO DON</t>
  </si>
  <si>
    <t xml:space="preserve">EDAD DON </t>
  </si>
  <si>
    <t>EDAD REC</t>
  </si>
  <si>
    <t>TIPO</t>
  </si>
  <si>
    <t>DX</t>
  </si>
  <si>
    <t>ESTIMULACIÓN</t>
  </si>
  <si>
    <t>DOSIS DE          G-CSF</t>
  </si>
  <si>
    <t>DÍAS DE          G-CSF</t>
  </si>
  <si>
    <t>DOSIS PLERIXAFOR mg/kg</t>
  </si>
  <si>
    <t>PESO DON</t>
  </si>
  <si>
    <t>TALLA DON</t>
  </si>
  <si>
    <t>IMC DON</t>
  </si>
  <si>
    <t>PESO REC.</t>
  </si>
  <si>
    <t>CEBADO</t>
  </si>
  <si>
    <t>TIEMPO MIN.</t>
  </si>
  <si>
    <t>VOLEMIA mL</t>
  </si>
  <si>
    <t>VOLEMIAS PROCESADAS</t>
  </si>
  <si>
    <t>VOL. SANGUÍNEO PROCESADO mL</t>
  </si>
  <si>
    <t>VOL. TOTAL PROCESADO mL</t>
  </si>
  <si>
    <t>ACD TOT</t>
  </si>
  <si>
    <t>VOL. PRODUCTO</t>
  </si>
  <si>
    <t>VOLUMEN CALCULADO</t>
  </si>
  <si>
    <t xml:space="preserve">DESECHABLE </t>
  </si>
  <si>
    <t xml:space="preserve">MAQUINA </t>
  </si>
  <si>
    <t>ACCESO</t>
  </si>
  <si>
    <t>VEL. INICIAL mL/min</t>
  </si>
  <si>
    <t>VEL. MEDIANA mL/min</t>
  </si>
  <si>
    <t>VEL. FINAL mL/min</t>
  </si>
  <si>
    <t>EVENTOS ADV EN PROCESO</t>
  </si>
  <si>
    <t>GPO ABO DONADOR</t>
  </si>
  <si>
    <t xml:space="preserve"> RH DONADOR</t>
  </si>
  <si>
    <t>CMV  IgM DONADOR</t>
  </si>
  <si>
    <t>CMV IgG DONADOR</t>
  </si>
  <si>
    <t>GPO ABO RECEPTOR</t>
  </si>
  <si>
    <t xml:space="preserve"> RH RECEPTOR</t>
  </si>
  <si>
    <t>CMV  IgM RECEPTOR</t>
  </si>
  <si>
    <t>CMV IgG RECEPTOR</t>
  </si>
  <si>
    <t xml:space="preserve">PRE WBC  k/µL </t>
  </si>
  <si>
    <t>PRE MNC%</t>
  </si>
  <si>
    <t>PRE MNC k/µL</t>
  </si>
  <si>
    <t>PRE HTO %</t>
  </si>
  <si>
    <t>PRE PLT k/μL</t>
  </si>
  <si>
    <t>COSECHA WBC k/µL</t>
  </si>
  <si>
    <t>COSECHA  MNC%</t>
  </si>
  <si>
    <t>COSECHA MNC k/µL</t>
  </si>
  <si>
    <t xml:space="preserve"> COSECHA CMN X10^9/ VOL TOTAL</t>
  </si>
  <si>
    <t>COSECHA HTO %</t>
  </si>
  <si>
    <t>COSECHA RBC x10⁶/µL</t>
  </si>
  <si>
    <t xml:space="preserve">COSECHA PLT k/µL </t>
  </si>
  <si>
    <t>POST WBC k/µL</t>
  </si>
  <si>
    <t>POST MNC %</t>
  </si>
  <si>
    <t>POST MNC k/µL</t>
  </si>
  <si>
    <t>POST HTO %</t>
  </si>
  <si>
    <t xml:space="preserve">POST  PLT k/µL </t>
  </si>
  <si>
    <t>CD34+ /µL DÍA 4</t>
  </si>
  <si>
    <t>CD34+ /µL DÍA 5</t>
  </si>
  <si>
    <t>COSECHA    CD34+/µL</t>
  </si>
  <si>
    <t>COSECHA CD34+TOTAL</t>
  </si>
  <si>
    <t>COSECHA     CD34+ x10⁶/kg</t>
  </si>
  <si>
    <t>COSECHA CD45+/μL</t>
  </si>
  <si>
    <t>VIABILIDAD %</t>
  </si>
  <si>
    <t xml:space="preserve">POST CD34+/µL </t>
  </si>
  <si>
    <t>Processed WB (liters)</t>
  </si>
  <si>
    <t>CE2% CD34+</t>
  </si>
  <si>
    <t>CE2% MNC</t>
  </si>
  <si>
    <t>% DE PÉRDIDA PLAQUETARIA</t>
  </si>
  <si>
    <t>CULTIVO M.</t>
  </si>
  <si>
    <t>PROCEDENCIA</t>
  </si>
  <si>
    <t>FECHA DE TRASPLANTE</t>
  </si>
  <si>
    <t>LUGAR DE INFUSIÓN</t>
  </si>
  <si>
    <t>CD34+/kg TRASPLANTE</t>
  </si>
  <si>
    <t>OBSERVACIONES</t>
  </si>
  <si>
    <t>CD34+/kg CRIO</t>
  </si>
  <si>
    <t>VIAB CRIO %</t>
  </si>
  <si>
    <t>REC MIELOIDE</t>
  </si>
  <si>
    <t>REC PLAQ</t>
  </si>
  <si>
    <t>EICH AGUDO</t>
  </si>
  <si>
    <t>EICH CRONICO</t>
  </si>
  <si>
    <t>SITIO AFECTADO</t>
  </si>
  <si>
    <t>HCT-Cie</t>
  </si>
  <si>
    <t>MORBILIDADES PRETRASPLANTE</t>
  </si>
  <si>
    <t>COMPLICACIONES</t>
  </si>
  <si>
    <t>INFECCIONES ESPECÍFICAS</t>
  </si>
  <si>
    <t>MUERTE EN PRIMEROS 100 DÍAS</t>
  </si>
  <si>
    <t>MUERTE EN PRIMER AÑO</t>
  </si>
  <si>
    <t>MUERTE RELACIONADA AL TRASPLANTE</t>
  </si>
  <si>
    <t>M</t>
  </si>
  <si>
    <t>AUTÓLOGO</t>
  </si>
  <si>
    <t>MM</t>
  </si>
  <si>
    <t>FILGRASTIM</t>
  </si>
  <si>
    <t>NO</t>
  </si>
  <si>
    <t>IDL</t>
  </si>
  <si>
    <t>EMT-25</t>
  </si>
  <si>
    <t>CATÉTER</t>
  </si>
  <si>
    <t>NINGUNO</t>
  </si>
  <si>
    <t>O</t>
  </si>
  <si>
    <t>POSITIVO</t>
  </si>
  <si>
    <t>NEGATIVO</t>
  </si>
  <si>
    <t>***</t>
  </si>
  <si>
    <t xml:space="preserve">  C</t>
  </si>
  <si>
    <t>HEMATO</t>
  </si>
  <si>
    <t>NA</t>
  </si>
  <si>
    <t>LH</t>
  </si>
  <si>
    <t>EMT-68</t>
  </si>
  <si>
    <t>PARESTESIAS</t>
  </si>
  <si>
    <t>A</t>
  </si>
  <si>
    <t>F</t>
  </si>
  <si>
    <t>LMA</t>
  </si>
  <si>
    <t>&gt;250</t>
  </si>
  <si>
    <t xml:space="preserve"> </t>
  </si>
  <si>
    <t>DM</t>
  </si>
  <si>
    <t>INMUNEF</t>
  </si>
  <si>
    <t>EM</t>
  </si>
  <si>
    <t>ZARZIO</t>
  </si>
  <si>
    <t>ONCARE</t>
  </si>
  <si>
    <t>ALOGÉNICO</t>
  </si>
  <si>
    <t>EMT-50</t>
  </si>
  <si>
    <t>PUNCIÓN</t>
  </si>
  <si>
    <t>B</t>
  </si>
  <si>
    <t>HAPLOIDÉNTICO</t>
  </si>
  <si>
    <t>LLA</t>
  </si>
  <si>
    <t>CEFALEA</t>
  </si>
  <si>
    <t>TUMOR DE CÉLULAS GERMINALES</t>
  </si>
  <si>
    <t>FILGRASTIM PEGILADO</t>
  </si>
  <si>
    <t>DH</t>
  </si>
  <si>
    <t>CRIOPRESERVACIÓN</t>
  </si>
  <si>
    <t>NAUSEAS</t>
  </si>
  <si>
    <t>FILATIL</t>
  </si>
  <si>
    <t>LNH</t>
  </si>
  <si>
    <t>DOBLE PUNCIÓN</t>
  </si>
  <si>
    <t>GRANUVEN</t>
  </si>
  <si>
    <t>AB</t>
  </si>
  <si>
    <t>CIDP</t>
  </si>
  <si>
    <t>RX VASOVAGAL</t>
  </si>
  <si>
    <t>HSJ</t>
  </si>
  <si>
    <t>SI</t>
  </si>
  <si>
    <t>SMD</t>
  </si>
  <si>
    <t>PARESTESIAS, NÁUSEAS Y VÓMITO</t>
  </si>
  <si>
    <t>NÁUSEAS Y VÓMITO</t>
  </si>
  <si>
    <t>LMM</t>
  </si>
  <si>
    <t>HIPOTENSIÓN</t>
  </si>
  <si>
    <t>LES</t>
  </si>
  <si>
    <t>INTOX POR CITRATO</t>
  </si>
  <si>
    <t>INFILTRACIÓN</t>
  </si>
  <si>
    <t>NEUROMIELITIS ÓPTICA</t>
  </si>
  <si>
    <t>A/O</t>
  </si>
  <si>
    <t>DOLOR ÁREA CATETER + NÁUSEAS</t>
  </si>
  <si>
    <t>IDÉNTICO</t>
  </si>
  <si>
    <t>H. ZAMBRANO</t>
  </si>
  <si>
    <t>MIASTENIA GRAVIS</t>
  </si>
  <si>
    <t>PROCEDIMIENTO FALLIDO</t>
  </si>
  <si>
    <t>PROCEDIMIENTO FALLIDO. CATETER DISFUNCIONAL</t>
  </si>
  <si>
    <t>AMO</t>
  </si>
  <si>
    <t>PARESTESIAS Y DOLOR EN ÁREA DE CATETER</t>
  </si>
  <si>
    <t>AA</t>
  </si>
  <si>
    <t>NEUTROMAX</t>
  </si>
  <si>
    <t>DOLOR EN ÁREA DE CATÉTER</t>
  </si>
  <si>
    <t xml:space="preserve">DOLOR ÁREA CATETER </t>
  </si>
  <si>
    <t>INFUNDEN 10 MILLONES</t>
  </si>
  <si>
    <t>SD. SEZARY</t>
  </si>
  <si>
    <t>ANGINA HEMODINÁMICA</t>
  </si>
  <si>
    <t>SD</t>
  </si>
  <si>
    <t>ISSSTE</t>
  </si>
  <si>
    <t>BH´S NO REGISTRADAS EN CILAB</t>
  </si>
  <si>
    <t>ESPONDILITIS ANQUILOSANTE</t>
  </si>
  <si>
    <t>SANGRADO, HIPERTENSIÓN E HIPOTENSIÓN</t>
  </si>
  <si>
    <t>BETA TALASEMIA</t>
  </si>
  <si>
    <t>CCYF</t>
  </si>
  <si>
    <t>N Y V SECUNDARIO A LA SEDACIÓN. SE INTERNA PACIENTE PARA HIDRATACIÓN, ADMINISTRACIÓN CON ANTIHEMÉTICO Y OBSERVACIÓN ESTRECHA</t>
  </si>
  <si>
    <t>****</t>
  </si>
  <si>
    <t>RECOLECCIÓN FALLIDA, SE DESCARTA VOLUMEN COLECTADO.</t>
  </si>
  <si>
    <t>NÁUSEAS Y VÓMITO, PARESTESIAS</t>
  </si>
  <si>
    <t>PREVIO Y DURANTE LA AFERESIS LA PX PRESENTÓ N Y V</t>
  </si>
  <si>
    <t>SMD/LMA</t>
  </si>
  <si>
    <t>15/12/2025 done</t>
  </si>
  <si>
    <t>mediana</t>
  </si>
  <si>
    <t>RECOLECCIONES</t>
  </si>
  <si>
    <t>AUTÓLOGOS</t>
  </si>
  <si>
    <t>ALOGÉNICOS</t>
  </si>
  <si>
    <t>HAPLOIDÉNTICOS</t>
  </si>
  <si>
    <t>DONADORES</t>
  </si>
  <si>
    <t>PEDIÁTRICOS= 16</t>
  </si>
  <si>
    <t>ADULTOS= 58</t>
  </si>
  <si>
    <t>ORIGEN DE CPH</t>
  </si>
  <si>
    <t>SPM= 73</t>
  </si>
  <si>
    <t>MO= 1</t>
  </si>
  <si>
    <t>TIPO DE ACCESO</t>
  </si>
  <si>
    <t>MEDICINA TRANSFUSIONAL</t>
  </si>
  <si>
    <t>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</si>
  <si>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</si>
  <si>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</si>
  <si>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</si>
  <si>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</si>
  <si>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</si>
  <si>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</si>
  <si>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</si>
  <si>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</si>
  <si>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</si>
  <si>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</si>
  <si>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</si>
  <si>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</si>
  <si>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SANGRE TOTAL MOVILIZADA</t>
  </si>
  <si>
    <t>RH DONADOR</t>
  </si>
  <si>
    <t>Estimulacion</t>
  </si>
  <si>
    <t>Dosis (µg)</t>
  </si>
  <si>
    <t>Tiempo (DÍAS)</t>
  </si>
  <si>
    <t>CD34/µl</t>
  </si>
  <si>
    <t>CD34TOTAL</t>
  </si>
  <si>
    <t>CD 34/kg</t>
  </si>
  <si>
    <t>CD45/μL</t>
  </si>
  <si>
    <t>VOLUMEN TOTAL</t>
  </si>
  <si>
    <t>CD3+/µL</t>
  </si>
  <si>
    <t>CD3+ TOTAL</t>
  </si>
  <si>
    <t>CD3+/kg</t>
  </si>
  <si>
    <t>VOLUMEN INFUNDIDO</t>
  </si>
  <si>
    <t>CD3+ INFUNDIDO</t>
  </si>
  <si>
    <t>CD3+/kg INFUNDIDO</t>
  </si>
  <si>
    <t>WBC k/µL BOLSA</t>
  </si>
  <si>
    <t>HTO % BOLSA</t>
  </si>
  <si>
    <r>
      <rPr>
        <b/>
        <sz val="9"/>
        <rFont val="Arial"/>
        <charset val="134"/>
      </rPr>
      <t>RBC x10</t>
    </r>
    <r>
      <rPr>
        <b/>
        <sz val="9"/>
        <rFont val="Calibri"/>
        <charset val="134"/>
      </rPr>
      <t>⁶</t>
    </r>
    <r>
      <rPr>
        <b/>
        <sz val="9"/>
        <rFont val="Arial"/>
        <charset val="134"/>
      </rPr>
      <t>/µL                               BOLSA</t>
    </r>
  </si>
  <si>
    <t>% MONOS TOTALES BOLSA</t>
  </si>
  <si>
    <t>PTL BOLSA</t>
  </si>
  <si>
    <t>INCONGRUENCIA ABO</t>
  </si>
  <si>
    <t>LEUCOCITAFERESIS</t>
  </si>
  <si>
    <t>SEXO</t>
  </si>
  <si>
    <t xml:space="preserve">EDAD </t>
  </si>
  <si>
    <t>ALTURA DON</t>
  </si>
  <si>
    <t>VOLEMIA</t>
  </si>
  <si>
    <t>HTO</t>
  </si>
  <si>
    <t>PLAQUETAS</t>
  </si>
  <si>
    <t>SOLUCION DE REEMPLAZO</t>
  </si>
  <si>
    <t>VOL PLASMATICO</t>
  </si>
  <si>
    <t>VOL ELIMINADO</t>
  </si>
  <si>
    <t>VOL REEMPLAZADO</t>
  </si>
  <si>
    <t>VOL PROCESADO</t>
  </si>
  <si>
    <t>ACD INFUNDIDO</t>
  </si>
  <si>
    <t xml:space="preserve">ACCESO </t>
  </si>
  <si>
    <t xml:space="preserve">PROCEDENCIA </t>
  </si>
  <si>
    <t>EVENTOS ADVERSOS</t>
  </si>
  <si>
    <t>RECAMBIO ERITROCITARIO</t>
  </si>
  <si>
    <t>PACIENTE</t>
  </si>
  <si>
    <t>EDAD</t>
  </si>
  <si>
    <t>TIPO DE RECAMBIO</t>
  </si>
  <si>
    <t>DREPANOCITOSIS</t>
  </si>
  <si>
    <t xml:space="preserve">ALBÚMINA AL 5% Y ERITROCITOS </t>
  </si>
  <si>
    <t>REDUCCIÓN / INTERCAMBIO</t>
  </si>
  <si>
    <t>MUGUERZA SALTILLO</t>
  </si>
  <si>
    <t>X VOL REAL</t>
  </si>
  <si>
    <t>VOL TOTAL PROCESADO</t>
  </si>
  <si>
    <t>X 100 ML</t>
  </si>
  <si>
    <t>VOLEMIAS PROCESADAS  EN 100 ML</t>
  </si>
  <si>
    <t>X 120 ML</t>
  </si>
  <si>
    <t>VOLEMIAS PROCESADAS EN 120 ML</t>
  </si>
  <si>
    <t>X 200 ML</t>
  </si>
  <si>
    <t>VOLEMIAS PROCESADAS EN 200 ML</t>
  </si>
  <si>
    <t>X 250 ML</t>
  </si>
  <si>
    <t>VOLEMIAS PROCESADAS 250 ML</t>
  </si>
  <si>
    <t>X 300 ML</t>
  </si>
  <si>
    <t>VOLEMIAS PROCESADAS EN 300 ML</t>
  </si>
  <si>
    <t>VOLEMIA PROCESADA</t>
  </si>
  <si>
    <t>VOL A PROCESAR</t>
  </si>
  <si>
    <t>LITROS A PROCESAR</t>
  </si>
  <si>
    <t>MNC PRE</t>
  </si>
  <si>
    <t>MEDIANA</t>
  </si>
  <si>
    <t>SANDRA LUZ ORTIZ MONTALVO</t>
  </si>
  <si>
    <t>DISFUNCIÓN NEUROLÓGICA PERIFÉRICA</t>
  </si>
  <si>
    <t>CATETER</t>
  </si>
  <si>
    <t>FERNANDO MARTINEZ GARZA</t>
  </si>
  <si>
    <t>PARKINSON</t>
  </si>
  <si>
    <t>CMN</t>
  </si>
  <si>
    <t>ROBERT MURRAY</t>
  </si>
  <si>
    <t>SD. NEUROLÓGICO DEGENERATIVO</t>
  </si>
  <si>
    <t>GEORGE CULP</t>
  </si>
  <si>
    <t>NEUROPATÍA DEGENERATIVA</t>
  </si>
  <si>
    <t>ADRIAN GARZA KARREN</t>
  </si>
  <si>
    <t>E. NEUROLÓGICA DEGENERATIVA</t>
  </si>
  <si>
    <t>&lt;1.5 MNC</t>
  </si>
  <si>
    <t>MICHAEL JAMES BLOCK</t>
  </si>
  <si>
    <t>ENFISEMA PULMONAR</t>
  </si>
  <si>
    <t>MARCELLE PAIANO</t>
  </si>
  <si>
    <t>SANO</t>
  </si>
  <si>
    <t>CINTHYA ITZEL SAENZ LOPEZ</t>
  </si>
  <si>
    <t>ALEJANDRA ITZEL CASTELLANOS SAENZ</t>
  </si>
  <si>
    <t>SD. DIGEORGE</t>
  </si>
  <si>
    <t>ROBERT LINABERY</t>
  </si>
  <si>
    <t>1.5-1.9 MNC</t>
  </si>
  <si>
    <t>JOSE JULIAN SOTO RODRIGUEZ</t>
  </si>
  <si>
    <t>MAYELA CANO GARCIA</t>
  </si>
  <si>
    <t>ESCLERODERMIA</t>
  </si>
  <si>
    <t>ALEJANDRO CESAR CORTES GARCIA</t>
  </si>
  <si>
    <t>TX LONGEVIDAD ¿?</t>
  </si>
  <si>
    <t>LYNN MARIE BIELBY</t>
  </si>
  <si>
    <t>2.0-2.4</t>
  </si>
  <si>
    <t>RAUL ALEJANDRO SANDOVAR GARZA</t>
  </si>
  <si>
    <t>CRISTOBAL SANDOVAL SAUCEDO</t>
  </si>
  <si>
    <t>ELAINE LANZILLOTI</t>
  </si>
  <si>
    <t>CLAUDIA VERONICA RAMOS SANCHEZ</t>
  </si>
  <si>
    <t>T. HASHIMOTO</t>
  </si>
  <si>
    <t>GRISELDA MARTINEZ GONZALEZ</t>
  </si>
  <si>
    <t>&gt;2.5 MNC</t>
  </si>
  <si>
    <t>HEMATOLOGÍA= 96</t>
  </si>
  <si>
    <t>EXTERNOS= 59</t>
  </si>
  <si>
    <t>TOTAL</t>
  </si>
  <si>
    <t>PEDIÁTRICOS= 12</t>
  </si>
  <si>
    <t>ADULTOS= 143</t>
  </si>
  <si>
    <t>SPM= 152</t>
  </si>
  <si>
    <t>MO= 3</t>
  </si>
  <si>
    <t>OTROS PROCEDIMIENTOS</t>
  </si>
  <si>
    <t>ST ESTIMULADA</t>
  </si>
  <si>
    <t>MANUFACTURA CAR-T</t>
  </si>
  <si>
    <t>SEPARADOR CELULAR EMPLEADO</t>
  </si>
  <si>
    <t>OPTIA</t>
  </si>
  <si>
    <t>AMICUS</t>
  </si>
  <si>
    <t>CONTRASEÑA</t>
  </si>
  <si>
    <t>CPH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</si>
</sst>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0.0"/>
    <numFmt numFmtId="179" formatCode="0.0E+00"/>
  </numFmts>
  <fonts count="4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8"/>
      <name val="Arial"/>
      <charset val="134"/>
    </font>
    <font>
      <sz val="10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8"/>
      <color theme="0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9"/>
      <name val="Arial"/>
      <charset val="134"/>
    </font>
    <font>
      <sz val="8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8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Calibri"/>
      <charset val="134"/>
    </font>
    <font>
      <sz val="9"/>
      <name val="Tahoma"/>
      <charset val="134"/>
    </font>
    <font>
      <b/>
      <sz val="9"/>
      <name val="Tahoma"/>
      <charset val="134"/>
    </font>
    <font>
      <b/>
      <sz val="9"/>
      <name val="Tahoma"/>
      <charset val="1"/>
    </font>
    <font>
      <sz val="9"/>
      <name val="Tahoma"/>
      <charset val="1"/>
    </font>
  </fonts>
  <fills count="5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9" borderId="1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20" applyNumberFormat="0" applyAlignment="0" applyProtection="0">
      <alignment vertical="center"/>
    </xf>
    <xf numFmtId="0" fontId="29" fillId="21" borderId="21" applyNumberFormat="0" applyAlignment="0" applyProtection="0">
      <alignment vertical="center"/>
    </xf>
    <xf numFmtId="0" fontId="30" fillId="21" borderId="20" applyNumberFormat="0" applyAlignment="0" applyProtection="0">
      <alignment vertical="center"/>
    </xf>
    <xf numFmtId="0" fontId="31" fillId="22" borderId="22" applyNumberFormat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9" fillId="0" borderId="0"/>
  </cellStyleXfs>
  <cellXfs count="12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/>
    </xf>
    <xf numFmtId="0" fontId="2" fillId="0" borderId="0" xfId="0" applyFont="1"/>
    <xf numFmtId="178" fontId="0" fillId="0" borderId="0" xfId="0" applyNumberFormat="1" applyAlignment="1">
      <alignment horizontal="center"/>
    </xf>
    <xf numFmtId="0" fontId="3" fillId="5" borderId="1" xfId="49" applyFont="1" applyFill="1" applyBorder="1" applyAlignment="1" applyProtection="1">
      <alignment horizontal="center" vertical="center" wrapText="1"/>
      <protection locked="0"/>
    </xf>
    <xf numFmtId="0" fontId="3" fillId="5" borderId="2" xfId="49" applyFont="1" applyFill="1" applyBorder="1" applyAlignment="1" applyProtection="1">
      <alignment horizontal="center" vertical="center" wrapText="1"/>
      <protection locked="0"/>
    </xf>
    <xf numFmtId="58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58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78" fontId="3" fillId="6" borderId="2" xfId="49" applyNumberFormat="1" applyFont="1" applyFill="1" applyBorder="1" applyAlignment="1">
      <alignment horizontal="center" vertical="center" wrapText="1"/>
    </xf>
    <xf numFmtId="178" fontId="4" fillId="6" borderId="0" xfId="0" applyNumberFormat="1" applyFont="1" applyFill="1" applyAlignment="1">
      <alignment horizontal="center"/>
    </xf>
    <xf numFmtId="178" fontId="5" fillId="6" borderId="0" xfId="0" applyNumberFormat="1" applyFont="1" applyFill="1" applyAlignment="1">
      <alignment horizontal="center"/>
    </xf>
    <xf numFmtId="0" fontId="3" fillId="0" borderId="2" xfId="49" applyFont="1" applyBorder="1" applyAlignment="1">
      <alignment horizontal="center" vertical="center" wrapText="1"/>
    </xf>
    <xf numFmtId="178" fontId="3" fillId="5" borderId="2" xfId="49" applyNumberFormat="1" applyFont="1" applyFill="1" applyBorder="1" applyAlignment="1" applyProtection="1">
      <alignment horizontal="center" vertical="center" wrapText="1"/>
      <protection locked="0"/>
    </xf>
    <xf numFmtId="178" fontId="4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0" fontId="3" fillId="7" borderId="3" xfId="49" applyFont="1" applyFill="1" applyBorder="1" applyAlignment="1" applyProtection="1">
      <alignment horizontal="center" vertical="center" wrapText="1"/>
      <protection locked="0"/>
    </xf>
    <xf numFmtId="0" fontId="3" fillId="7" borderId="4" xfId="49" applyFont="1" applyFill="1" applyBorder="1" applyAlignment="1" applyProtection="1">
      <alignment horizontal="center" vertical="center" wrapText="1"/>
      <protection locked="0"/>
    </xf>
    <xf numFmtId="0" fontId="3" fillId="7" borderId="5" xfId="49" applyFont="1" applyFill="1" applyBorder="1" applyAlignment="1" applyProtection="1">
      <alignment horizontal="center" vertical="center" wrapText="1"/>
      <protection locked="0"/>
    </xf>
    <xf numFmtId="0" fontId="3" fillId="7" borderId="2" xfId="49" applyFont="1" applyFill="1" applyBorder="1" applyAlignment="1" applyProtection="1">
      <alignment horizontal="center" vertical="center" wrapText="1"/>
      <protection locked="0"/>
    </xf>
    <xf numFmtId="0" fontId="6" fillId="8" borderId="2" xfId="49" applyFont="1" applyFill="1" applyBorder="1" applyAlignment="1" applyProtection="1">
      <alignment horizontal="center" vertical="center" wrapText="1"/>
      <protection locked="0"/>
    </xf>
    <xf numFmtId="2" fontId="7" fillId="6" borderId="2" xfId="1" applyNumberFormat="1" applyFont="1" applyFill="1" applyBorder="1" applyAlignment="1" applyProtection="1">
      <alignment horizontal="center" vertical="center" wrapText="1"/>
    </xf>
    <xf numFmtId="0" fontId="8" fillId="2" borderId="2" xfId="49" applyFont="1" applyFill="1" applyBorder="1" applyAlignment="1" applyProtection="1">
      <alignment horizontal="center" vertical="center" wrapText="1"/>
      <protection locked="0"/>
    </xf>
    <xf numFmtId="2" fontId="7" fillId="6" borderId="6" xfId="49" applyNumberFormat="1" applyFont="1" applyFill="1" applyBorder="1" applyAlignment="1">
      <alignment horizontal="center" vertical="center" wrapText="1"/>
    </xf>
    <xf numFmtId="178" fontId="8" fillId="2" borderId="6" xfId="49" applyNumberFormat="1" applyFont="1" applyFill="1" applyBorder="1" applyAlignment="1" applyProtection="1">
      <alignment horizontal="center" vertical="center" wrapText="1"/>
      <protection locked="0"/>
    </xf>
    <xf numFmtId="178" fontId="4" fillId="0" borderId="0" xfId="0" applyNumberFormat="1" applyFont="1" applyAlignment="1" applyProtection="1">
      <alignment horizontal="center"/>
      <protection locked="0"/>
    </xf>
    <xf numFmtId="178" fontId="5" fillId="0" borderId="0" xfId="0" applyNumberFormat="1" applyFont="1" applyAlignment="1" applyProtection="1">
      <alignment horizontal="center"/>
      <protection locked="0"/>
    </xf>
    <xf numFmtId="0" fontId="8" fillId="0" borderId="7" xfId="49" applyFont="1" applyBorder="1" applyAlignment="1" applyProtection="1">
      <alignment horizontal="center" vertical="center" wrapText="1"/>
      <protection locked="0"/>
    </xf>
    <xf numFmtId="0" fontId="3" fillId="0" borderId="2" xfId="49" applyFont="1" applyBorder="1" applyAlignment="1" applyProtection="1">
      <alignment horizontal="center" vertical="center" wrapText="1"/>
      <protection locked="0"/>
    </xf>
    <xf numFmtId="0" fontId="3" fillId="6" borderId="2" xfId="49" applyFont="1" applyFill="1" applyBorder="1" applyAlignment="1">
      <alignment horizontal="center" vertical="center" wrapText="1"/>
    </xf>
    <xf numFmtId="179" fontId="2" fillId="0" borderId="0" xfId="0" applyNumberFormat="1" applyFont="1"/>
    <xf numFmtId="179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179" fontId="0" fillId="0" borderId="0" xfId="0" applyNumberFormat="1"/>
    <xf numFmtId="179" fontId="0" fillId="0" borderId="0" xfId="0" applyNumberFormat="1" applyAlignment="1">
      <alignment horizontal="center"/>
    </xf>
    <xf numFmtId="179" fontId="0" fillId="9" borderId="0" xfId="0" applyNumberFormat="1" applyFill="1" applyAlignment="1">
      <alignment horizontal="center"/>
    </xf>
    <xf numFmtId="178" fontId="0" fillId="9" borderId="0" xfId="0" applyNumberFormat="1" applyFill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  <xf numFmtId="0" fontId="9" fillId="10" borderId="0" xfId="0" applyFont="1" applyFill="1" applyAlignment="1">
      <alignment horizontal="center" vertical="center" wrapText="1"/>
    </xf>
    <xf numFmtId="2" fontId="6" fillId="10" borderId="2" xfId="1" applyNumberFormat="1" applyFont="1" applyFill="1" applyBorder="1" applyAlignment="1" applyProtection="1">
      <alignment horizontal="center" vertical="center" wrapText="1"/>
    </xf>
    <xf numFmtId="0" fontId="9" fillId="10" borderId="0" xfId="0" applyFont="1" applyFill="1" applyAlignment="1">
      <alignment horizontal="center" wrapText="1"/>
    </xf>
    <xf numFmtId="0" fontId="10" fillId="10" borderId="0" xfId="0" applyFont="1" applyFill="1" applyAlignment="1">
      <alignment horizontal="center"/>
    </xf>
    <xf numFmtId="178" fontId="11" fillId="10" borderId="0" xfId="0" applyNumberFormat="1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1" fontId="9" fillId="10" borderId="0" xfId="0" applyNumberFormat="1" applyFont="1" applyFill="1" applyAlignment="1">
      <alignment horizontal="center"/>
    </xf>
    <xf numFmtId="178" fontId="12" fillId="10" borderId="0" xfId="0" applyNumberFormat="1" applyFont="1" applyFill="1" applyAlignment="1">
      <alignment horizontal="center"/>
    </xf>
    <xf numFmtId="1" fontId="0" fillId="0" borderId="0" xfId="0" applyNumberFormat="1"/>
    <xf numFmtId="0" fontId="1" fillId="5" borderId="0" xfId="0" applyFont="1" applyFill="1" applyAlignment="1">
      <alignment vertical="top"/>
    </xf>
    <xf numFmtId="0" fontId="1" fillId="5" borderId="0" xfId="0" applyFont="1" applyFill="1" applyAlignment="1">
      <alignment horizontal="center"/>
    </xf>
    <xf numFmtId="0" fontId="13" fillId="4" borderId="1" xfId="49" applyFont="1" applyFill="1" applyBorder="1" applyAlignment="1">
      <alignment horizontal="center" wrapText="1"/>
    </xf>
    <xf numFmtId="0" fontId="13" fillId="4" borderId="2" xfId="49" applyFont="1" applyFill="1" applyBorder="1" applyAlignment="1">
      <alignment horizontal="center" wrapText="1"/>
    </xf>
    <xf numFmtId="58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58" fontId="1" fillId="5" borderId="0" xfId="0" applyNumberFormat="1" applyFont="1" applyFill="1" applyAlignment="1">
      <alignment horizontal="left" vertical="top"/>
    </xf>
    <xf numFmtId="58" fontId="1" fillId="5" borderId="0" xfId="0" applyNumberFormat="1" applyFont="1" applyFill="1" applyAlignment="1">
      <alignment horizontal="center" vertical="center"/>
    </xf>
    <xf numFmtId="0" fontId="13" fillId="4" borderId="1" xfId="49" applyFont="1" applyFill="1" applyBorder="1" applyAlignment="1">
      <alignment horizontal="center" vertical="center" wrapText="1"/>
    </xf>
    <xf numFmtId="0" fontId="13" fillId="4" borderId="2" xfId="49" applyFont="1" applyFill="1" applyBorder="1" applyAlignment="1">
      <alignment horizontal="center" vertical="center" wrapText="1"/>
    </xf>
    <xf numFmtId="0" fontId="13" fillId="4" borderId="8" xfId="49" applyFont="1" applyFill="1" applyBorder="1" applyAlignment="1">
      <alignment horizontal="center" vertical="center" wrapText="1"/>
    </xf>
    <xf numFmtId="0" fontId="13" fillId="4" borderId="9" xfId="49" applyFont="1" applyFill="1" applyBorder="1" applyAlignment="1">
      <alignment horizontal="center" vertical="center" wrapText="1"/>
    </xf>
    <xf numFmtId="58" fontId="0" fillId="0" borderId="0" xfId="0" applyNumberFormat="1" applyAlignment="1">
      <alignment horizontal="center"/>
    </xf>
    <xf numFmtId="58" fontId="1" fillId="5" borderId="10" xfId="0" applyNumberFormat="1" applyFont="1" applyFill="1" applyBorder="1" applyAlignment="1">
      <alignment horizontal="left" vertical="center"/>
    </xf>
    <xf numFmtId="58" fontId="1" fillId="5" borderId="10" xfId="0" applyNumberFormat="1" applyFont="1" applyFill="1" applyBorder="1" applyAlignment="1">
      <alignment horizontal="center" vertical="center"/>
    </xf>
    <xf numFmtId="0" fontId="13" fillId="11" borderId="2" xfId="49" applyFont="1" applyFill="1" applyBorder="1" applyAlignment="1">
      <alignment horizontal="center" wrapText="1"/>
    </xf>
    <xf numFmtId="0" fontId="13" fillId="4" borderId="11" xfId="49" applyFont="1" applyFill="1" applyBorder="1" applyAlignment="1">
      <alignment horizontal="center" vertical="center" wrapText="1"/>
    </xf>
    <xf numFmtId="1" fontId="13" fillId="4" borderId="11" xfId="49" applyNumberFormat="1" applyFont="1" applyFill="1" applyBorder="1" applyAlignment="1">
      <alignment horizontal="center" vertical="center" wrapText="1"/>
    </xf>
    <xf numFmtId="178" fontId="13" fillId="4" borderId="11" xfId="49" applyNumberFormat="1" applyFont="1" applyFill="1" applyBorder="1" applyAlignment="1">
      <alignment horizontal="center" vertical="center" wrapText="1"/>
    </xf>
    <xf numFmtId="2" fontId="13" fillId="12" borderId="2" xfId="49" applyNumberFormat="1" applyFont="1" applyFill="1" applyBorder="1" applyAlignment="1">
      <alignment horizontal="center" wrapText="1"/>
    </xf>
    <xf numFmtId="0" fontId="13" fillId="12" borderId="2" xfId="49" applyFont="1" applyFill="1" applyBorder="1" applyAlignment="1">
      <alignment horizontal="center" wrapText="1"/>
    </xf>
    <xf numFmtId="0" fontId="13" fillId="13" borderId="2" xfId="49" applyFont="1" applyFill="1" applyBorder="1" applyAlignment="1">
      <alignment horizontal="center" wrapText="1"/>
    </xf>
    <xf numFmtId="11" fontId="0" fillId="0" borderId="0" xfId="0" applyNumberFormat="1" applyAlignment="1">
      <alignment horizontal="center"/>
    </xf>
    <xf numFmtId="0" fontId="13" fillId="4" borderId="12" xfId="49" applyFont="1" applyFill="1" applyBorder="1" applyAlignment="1">
      <alignment horizontal="center" vertical="center" wrapText="1"/>
    </xf>
    <xf numFmtId="2" fontId="13" fillId="2" borderId="2" xfId="49" applyNumberFormat="1" applyFont="1" applyFill="1" applyBorder="1" applyAlignment="1">
      <alignment horizontal="center" wrapText="1"/>
    </xf>
    <xf numFmtId="0" fontId="13" fillId="2" borderId="8" xfId="49" applyFont="1" applyFill="1" applyBorder="1" applyAlignment="1">
      <alignment horizontal="center" wrapText="1"/>
    </xf>
    <xf numFmtId="0" fontId="3" fillId="4" borderId="2" xfId="49" applyFont="1" applyFill="1" applyBorder="1" applyAlignment="1">
      <alignment horizontal="center" wrapText="1"/>
    </xf>
    <xf numFmtId="0" fontId="13" fillId="4" borderId="13" xfId="49" applyFont="1" applyFill="1" applyBorder="1" applyAlignment="1">
      <alignment horizontal="center" wrapText="1"/>
    </xf>
    <xf numFmtId="2" fontId="13" fillId="14" borderId="14" xfId="49" applyNumberFormat="1" applyFont="1" applyFill="1" applyBorder="1" applyAlignment="1">
      <alignment horizontal="center" wrapText="1"/>
    </xf>
    <xf numFmtId="0" fontId="14" fillId="0" borderId="0" xfId="0" applyFont="1" applyAlignment="1" applyProtection="1">
      <alignment horizontal="center"/>
      <protection locked="0"/>
    </xf>
    <xf numFmtId="0" fontId="1" fillId="0" borderId="0" xfId="0" applyFont="1"/>
    <xf numFmtId="0" fontId="15" fillId="4" borderId="2" xfId="49" applyFont="1" applyFill="1" applyBorder="1" applyAlignment="1">
      <alignment horizontal="center" vertical="center" wrapText="1"/>
    </xf>
    <xf numFmtId="1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78" fontId="0" fillId="0" borderId="0" xfId="0" applyNumberFormat="1"/>
    <xf numFmtId="0" fontId="3" fillId="15" borderId="2" xfId="49" applyFont="1" applyFill="1" applyBorder="1" applyAlignment="1" applyProtection="1">
      <alignment horizontal="center" vertical="center" wrapText="1"/>
      <protection locked="0"/>
    </xf>
    <xf numFmtId="178" fontId="7" fillId="6" borderId="2" xfId="1" applyNumberFormat="1" applyFont="1" applyFill="1" applyBorder="1" applyAlignment="1" applyProtection="1">
      <alignment horizontal="center" vertical="center" wrapText="1"/>
    </xf>
    <xf numFmtId="178" fontId="7" fillId="6" borderId="6" xfId="49" applyNumberFormat="1" applyFont="1" applyFill="1" applyBorder="1" applyAlignment="1">
      <alignment horizontal="center" vertical="center" wrapText="1"/>
    </xf>
    <xf numFmtId="0" fontId="8" fillId="9" borderId="2" xfId="49" applyFont="1" applyFill="1" applyBorder="1" applyAlignment="1" applyProtection="1">
      <alignment horizontal="center" vertical="center" wrapText="1"/>
      <protection locked="0"/>
    </xf>
    <xf numFmtId="0" fontId="8" fillId="9" borderId="6" xfId="49" applyFont="1" applyFill="1" applyBorder="1" applyAlignment="1" applyProtection="1">
      <alignment horizontal="center" vertical="center" wrapText="1"/>
      <protection locked="0"/>
    </xf>
    <xf numFmtId="178" fontId="3" fillId="16" borderId="2" xfId="49" applyNumberFormat="1" applyFont="1" applyFill="1" applyBorder="1" applyAlignment="1" applyProtection="1">
      <alignment horizontal="center" vertical="center" wrapText="1"/>
      <protection locked="0"/>
    </xf>
    <xf numFmtId="0" fontId="3" fillId="3" borderId="2" xfId="49" applyFont="1" applyFill="1" applyBorder="1" applyAlignment="1" applyProtection="1">
      <alignment horizontal="center" vertical="center" wrapText="1"/>
      <protection locked="0"/>
    </xf>
    <xf numFmtId="178" fontId="15" fillId="12" borderId="2" xfId="49" applyNumberFormat="1" applyFont="1" applyFill="1" applyBorder="1" applyAlignment="1" applyProtection="1">
      <alignment horizontal="center" vertical="center" wrapText="1"/>
      <protection locked="0"/>
    </xf>
    <xf numFmtId="178" fontId="5" fillId="3" borderId="0" xfId="0" applyNumberFormat="1" applyFont="1" applyFill="1" applyAlignment="1" applyProtection="1">
      <alignment horizontal="center"/>
      <protection locked="0"/>
    </xf>
    <xf numFmtId="178" fontId="15" fillId="9" borderId="8" xfId="49" applyNumberFormat="1" applyFont="1" applyFill="1" applyBorder="1" applyAlignment="1" applyProtection="1">
      <alignment horizontal="center" vertical="center" wrapText="1"/>
      <protection locked="0"/>
    </xf>
    <xf numFmtId="178" fontId="3" fillId="6" borderId="8" xfId="49" applyNumberFormat="1" applyFont="1" applyFill="1" applyBorder="1" applyAlignment="1">
      <alignment horizontal="center" vertical="center" wrapText="1"/>
    </xf>
    <xf numFmtId="2" fontId="3" fillId="6" borderId="8" xfId="49" applyNumberFormat="1" applyFont="1" applyFill="1" applyBorder="1" applyAlignment="1">
      <alignment horizontal="center" vertical="center" wrapText="1"/>
    </xf>
    <xf numFmtId="0" fontId="3" fillId="2" borderId="2" xfId="49" applyFont="1" applyFill="1" applyBorder="1" applyAlignment="1" applyProtection="1">
      <alignment horizontal="center" vertical="center" wrapText="1"/>
      <protection locked="0"/>
    </xf>
    <xf numFmtId="2" fontId="5" fillId="6" borderId="0" xfId="0" applyNumberFormat="1" applyFont="1" applyFill="1" applyAlignment="1">
      <alignment horizontal="center"/>
    </xf>
    <xf numFmtId="0" fontId="5" fillId="3" borderId="0" xfId="0" applyFont="1" applyFill="1" applyAlignment="1" applyProtection="1">
      <alignment horizontal="center"/>
      <protection locked="0"/>
    </xf>
    <xf numFmtId="178" fontId="3" fillId="2" borderId="14" xfId="49" applyNumberFormat="1" applyFont="1" applyFill="1" applyBorder="1" applyAlignment="1" applyProtection="1">
      <alignment horizontal="center" vertical="center" wrapText="1"/>
      <protection locked="0"/>
    </xf>
    <xf numFmtId="2" fontId="3" fillId="0" borderId="0" xfId="49" applyNumberFormat="1" applyFont="1" applyAlignment="1" applyProtection="1">
      <alignment horizontal="center" vertical="center" wrapText="1"/>
      <protection locked="0"/>
    </xf>
    <xf numFmtId="0" fontId="7" fillId="17" borderId="0" xfId="0" applyFont="1" applyFill="1" applyAlignment="1" applyProtection="1">
      <alignment horizontal="center" vertical="center" wrapText="1"/>
      <protection locked="0"/>
    </xf>
    <xf numFmtId="0" fontId="3" fillId="18" borderId="2" xfId="49" applyFont="1" applyFill="1" applyBorder="1" applyAlignment="1" applyProtection="1">
      <alignment horizontal="center" vertical="center" wrapText="1"/>
      <protection locked="0"/>
    </xf>
    <xf numFmtId="0" fontId="3" fillId="18" borderId="15" xfId="49" applyFont="1" applyFill="1" applyBorder="1" applyAlignment="1" applyProtection="1">
      <alignment horizontal="center" vertical="center" wrapText="1"/>
      <protection locked="0"/>
    </xf>
    <xf numFmtId="0" fontId="3" fillId="18" borderId="16" xfId="49" applyFont="1" applyFill="1" applyBorder="1" applyAlignment="1" applyProtection="1">
      <alignment horizontal="center" vertical="center" wrapText="1"/>
      <protection locked="0"/>
    </xf>
    <xf numFmtId="0" fontId="3" fillId="18" borderId="3" xfId="49" applyFont="1" applyFill="1" applyBorder="1" applyAlignment="1" applyProtection="1">
      <alignment horizontal="center" vertical="center" wrapText="1"/>
      <protection locked="0"/>
    </xf>
    <xf numFmtId="0" fontId="7" fillId="18" borderId="0" xfId="0" applyFont="1" applyFill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/>
      <protection locked="0"/>
    </xf>
    <xf numFmtId="178" fontId="16" fillId="0" borderId="0" xfId="0" applyNumberFormat="1" applyFont="1" applyAlignment="1" applyProtection="1">
      <alignment horizontal="center"/>
      <protection locked="0"/>
    </xf>
    <xf numFmtId="0" fontId="5" fillId="0" borderId="0" xfId="0" applyFont="1" applyFill="1" applyAlignment="1" applyProtection="1">
      <alignment horizontal="center"/>
      <protection locked="0"/>
    </xf>
    <xf numFmtId="178" fontId="1" fillId="0" borderId="0" xfId="0" applyNumberFormat="1" applyFont="1"/>
    <xf numFmtId="178" fontId="16" fillId="6" borderId="0" xfId="0" applyNumberFormat="1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7" fillId="0" borderId="0" xfId="0" applyFont="1" applyAlignment="1" applyProtection="1">
      <alignment horizontal="center"/>
      <protection locked="0"/>
    </xf>
    <xf numFmtId="2" fontId="16" fillId="6" borderId="0" xfId="0" applyNumberFormat="1" applyFont="1" applyFill="1" applyAlignment="1">
      <alignment horizontal="center"/>
    </xf>
    <xf numFmtId="0" fontId="5" fillId="9" borderId="0" xfId="0" applyFont="1" applyFill="1" applyAlignment="1" applyProtection="1">
      <alignment horizontal="center"/>
      <protection locked="0"/>
    </xf>
    <xf numFmtId="58" fontId="0" fillId="0" borderId="0" xfId="0" applyNumberFormat="1"/>
    <xf numFmtId="2" fontId="18" fillId="2" borderId="6" xfId="49" applyNumberFormat="1" applyFont="1" applyFill="1" applyBorder="1" applyAlignment="1">
      <alignment horizontal="center" vertical="center" wrapText="1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>
                <a:solidFill>
                  <a:sysClr val="windowText" lastClr="000000"/>
                </a:solidFill>
              </a:rPr>
              <a:t>TIPO DE RECOLECCIÓN CPH 2025 (N=74)</a:t>
            </a:r>
            <a:endParaRPr lang="es-MX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'ESTADÍSTICA FACT'!$A$7:$A$9</c:f>
              <c:strCache>
                <c:ptCount val="3"/>
                <c:pt idx="0">
                  <c:v>AUTÓLOGOS</c:v>
                </c:pt>
                <c:pt idx="1">
                  <c:v>ALOGÉNICOS</c:v>
                </c:pt>
                <c:pt idx="2">
                  <c:v>HAPLOIDÉNTICOS</c:v>
                </c:pt>
              </c:strCache>
            </c:strRef>
          </c:cat>
          <c:val>
            <c:numRef>
              <c:f>'ESTADÍSTICA FACT'!$B$7:$B$9</c:f>
              <c:numCache>
                <c:formatCode>General</c:formatCode>
                <c:ptCount val="3"/>
                <c:pt idx="0">
                  <c:v>30</c:v>
                </c:pt>
                <c:pt idx="1">
                  <c:v>12</c:v>
                </c:pt>
                <c:pt idx="2">
                  <c:v>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343743968"/>
        <c:axId val="-1343740160"/>
      </c:barChart>
      <c:catAx>
        <c:axId val="-134374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-1343740160"/>
        <c:crosses val="autoZero"/>
        <c:auto val="1"/>
        <c:lblAlgn val="ctr"/>
        <c:lblOffset val="100"/>
        <c:noMultiLvlLbl val="0"/>
      </c:catAx>
      <c:valAx>
        <c:axId val="-134374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-134374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4cafaf2-924d-4baa-b908-c15e10624a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600" b="1" i="0" u="none" strike="noStrike" kern="1200" cap="all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'ESTADÍSTICA FACT'!$B$25</c:f>
              <c:strCache>
                <c:ptCount val="1"/>
                <c:pt idx="0">
                  <c:v>DONADORES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0.0763889982502187"/>
                  <c:y val="0.064814814814814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s-E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6777777777778"/>
                      <c:h val="0.18340296004666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176388670166229"/>
                  <c:y val="-0.0509259259259259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s-E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6777777777778"/>
                      <c:h val="0.18340296004666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'ESTADÍSTICA FACT'!$A$26:$A$27</c:f>
              <c:strCache>
                <c:ptCount val="2"/>
                <c:pt idx="0">
                  <c:v>PEDIÁTRICOS= 16</c:v>
                </c:pt>
                <c:pt idx="1">
                  <c:v>ADULTOS= 58</c:v>
                </c:pt>
              </c:strCache>
            </c:strRef>
          </c:cat>
          <c:val>
            <c:numRef>
              <c:f>'ESTADÍSTICA FACT'!$B$26:$B$27</c:f>
              <c:numCache>
                <c:formatCode>General</c:formatCode>
                <c:ptCount val="2"/>
                <c:pt idx="0">
                  <c:v>16</c:v>
                </c:pt>
                <c:pt idx="1">
                  <c:v>58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8c11822-d804-44bc-ad9c-02f0a28100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600" b="1" i="0" u="none" strike="noStrike" kern="1200" cap="all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'ESTADÍSTICA FACT'!$B$41</c:f>
              <c:strCache>
                <c:ptCount val="1"/>
                <c:pt idx="0">
                  <c:v>ORIGEN DE CPH</c:v>
                </c:pt>
              </c:strCache>
            </c:strRef>
          </c:tx>
          <c:spPr>
            <a:solidFill>
              <a:srgbClr val="990099"/>
            </a:solidFill>
          </c:spPr>
          <c:explosion val="0"/>
          <c:dPt>
            <c:idx val="0"/>
            <c:bubble3D val="0"/>
            <c:spPr>
              <a:solidFill>
                <a:srgbClr val="00CC99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rgbClr val="990099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0.25"/>
                  <c:y val="-0.40740740740740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s-E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3"/>
                  <c:y val="0.078703703703703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s-E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'ESTADÍSTICA FACT'!$A$42:$A$43</c:f>
              <c:strCache>
                <c:ptCount val="2"/>
                <c:pt idx="0">
                  <c:v>SPM= 73</c:v>
                </c:pt>
                <c:pt idx="1">
                  <c:v>MO= 1</c:v>
                </c:pt>
              </c:strCache>
            </c:strRef>
          </c:cat>
          <c:val>
            <c:numRef>
              <c:f>'ESTADÍSTICA FACT'!$B$42:$B$43</c:f>
              <c:numCache>
                <c:formatCode>General</c:formatCode>
                <c:ptCount val="2"/>
                <c:pt idx="0">
                  <c:v>73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8734f7-a3e2-4e3b-a4cd-98e09fba1df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'ESTADÍSTICA FACT'!$B$56</c:f>
              <c:strCache>
                <c:ptCount val="1"/>
                <c:pt idx="0">
                  <c:v>TIPO DE ACCESO</c:v>
                </c:pt>
              </c:strCache>
            </c:strRef>
          </c:tx>
          <c:spPr>
            <a:solidFill>
              <a:srgbClr val="990099"/>
            </a:solidFill>
          </c:spPr>
          <c:explosion val="0"/>
          <c:dPt>
            <c:idx val="0"/>
            <c:bubble3D val="0"/>
            <c:spPr>
              <a:solidFill>
                <a:srgbClr val="00CC99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bubble3D val="0"/>
            <c:spPr>
              <a:solidFill>
                <a:srgbClr val="990099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'ESTADÍSTICA FACT'!$A$57:$A$58</c:f>
              <c:strCache>
                <c:ptCount val="2"/>
                <c:pt idx="0">
                  <c:v>CATÉTER</c:v>
                </c:pt>
                <c:pt idx="1">
                  <c:v>PUNCIÓN</c:v>
                </c:pt>
              </c:strCache>
            </c:strRef>
          </c:cat>
          <c:val>
            <c:numRef>
              <c:f>'ESTADÍSTICA FACT'!$B$57:$B$58</c:f>
              <c:numCache>
                <c:formatCode>General</c:formatCode>
                <c:ptCount val="2"/>
                <c:pt idx="0">
                  <c:v>50</c:v>
                </c:pt>
                <c:pt idx="1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2d95a0-4c1f-4579-a784-083d948396f9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COLECTA</a:t>
            </a:r>
            <a:r>
              <a:rPr lang="en-US" baseline="0"/>
              <a:t> CPH S. DE HEMATOLOGÍA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 FACT'!$B$71</c:f>
              <c:strCache>
                <c:ptCount val="1"/>
                <c:pt idx="0">
                  <c:v>MEDICINA TRANSFUSIONAL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990099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'ESTADÍSTICA FACT'!$A$72:$A$82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'ESTADÍSTICA FACT'!$B$72:$B$82</c:f>
              <c:numCache>
                <c:formatCode>General</c:formatCode>
                <c:ptCount val="11"/>
                <c:pt idx="0">
                  <c:v>56</c:v>
                </c:pt>
                <c:pt idx="1">
                  <c:v>93</c:v>
                </c:pt>
                <c:pt idx="2">
                  <c:v>112</c:v>
                </c:pt>
                <c:pt idx="3">
                  <c:v>64</c:v>
                </c:pt>
                <c:pt idx="4">
                  <c:v>75</c:v>
                </c:pt>
                <c:pt idx="5">
                  <c:v>90</c:v>
                </c:pt>
                <c:pt idx="6">
                  <c:v>101</c:v>
                </c:pt>
                <c:pt idx="7">
                  <c:v>112</c:v>
                </c:pt>
                <c:pt idx="8">
                  <c:v>96</c:v>
                </c:pt>
                <c:pt idx="9">
                  <c:v>116</c:v>
                </c:pt>
                <c:pt idx="10">
                  <c:v>74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343732000"/>
        <c:axId val="-1343743424"/>
      </c:barChart>
      <c:catAx>
        <c:axId val="-134373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-1343743424"/>
        <c:crosses val="autoZero"/>
        <c:auto val="1"/>
        <c:lblAlgn val="ctr"/>
        <c:lblOffset val="100"/>
        <c:noMultiLvlLbl val="0"/>
      </c:catAx>
      <c:valAx>
        <c:axId val="-13437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-134373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cf436fd-234d-4640-86bb-87355bb6cc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chemeClr val="tx1"/>
                </a:solidFill>
              </a:rPr>
              <a:t>Recolecciones</a:t>
            </a:r>
            <a:r>
              <a:rPr lang="es-MX" b="1" baseline="0">
                <a:solidFill>
                  <a:schemeClr val="tx1"/>
                </a:solidFill>
              </a:rPr>
              <a:t> CPH 2025 (N=74)</a:t>
            </a:r>
            <a:endParaRPr lang="es-MX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3986001749781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 FACT'!$B$92</c:f>
              <c:strCache>
                <c:ptCount val="1"/>
                <c:pt idx="0">
                  <c:v>AUTÓLOGO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'ESTADÍSTICA FACT'!$A$93:$A$104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 FACT'!$B$93:$B$104</c:f>
              <c:numCache>
                <c:formatCode>General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</c:ser>
        <c:ser>
          <c:idx val="1"/>
          <c:order val="1"/>
          <c:tx>
            <c:strRef>
              <c:f>'ESTADÍSTICA FACT'!$C$92</c:f>
              <c:strCache>
                <c:ptCount val="1"/>
                <c:pt idx="0">
                  <c:v>ALOGÉNICO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'ESTADÍSTICA FACT'!$A$93:$A$104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 FACT'!$C$93:$C$104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'ESTADÍSTICA FACT'!$D$92</c:f>
              <c:strCache>
                <c:ptCount val="1"/>
                <c:pt idx="0">
                  <c:v>HAPLOIDÉNTICO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'ESTADÍSTICA FACT'!$A$93:$A$104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 FACT'!$D$93:$D$104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343739616"/>
        <c:axId val="-1343742336"/>
      </c:barChart>
      <c:catAx>
        <c:axId val="-134373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343742336"/>
        <c:crosses val="autoZero"/>
        <c:auto val="1"/>
        <c:lblAlgn val="ctr"/>
        <c:lblOffset val="100"/>
        <c:noMultiLvlLbl val="0"/>
      </c:catAx>
      <c:valAx>
        <c:axId val="-134374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3437396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7f5b074-6e6c-406b-8f5c-cb1fb0383a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cap="all" spc="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>
                <a:solidFill>
                  <a:schemeClr val="tx1"/>
                </a:solidFill>
              </a:rPr>
              <a:t>colecta</a:t>
            </a:r>
            <a:r>
              <a:rPr lang="es-MX" baseline="0">
                <a:solidFill>
                  <a:schemeClr val="tx1"/>
                </a:solidFill>
              </a:rPr>
              <a:t> cph 2023 N=155</a:t>
            </a:r>
            <a:endParaRPr lang="es-MX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explosion val="0"/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0070C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dLbl>
              <c:idx val="0"/>
              <c:layout>
                <c:manualLayout>
                  <c:x val="-0.149902230971129"/>
                  <c:y val="-0.088634441528142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fld id="{32f5179f-22ca-487f-aaa2-82d5b222506f}" type="CATEGORYNAME">
                      <a:t>[CATEGORY NAME]</a:t>
                    </a:fld>
                    <a:endParaRPr lang="en-US" sz="1600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s-ES" sz="16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24902230971129"/>
                  <c:y val="0.014561096529600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fld id="{894abb99-33d6-4259-a192-0f7a64f1a7c1}" type="CATEGORYNAME">
                      <a:t>[CATEGORY NAME]</a:t>
                    </a:fld>
                    <a:endParaRPr lang="en-US" sz="1400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s-ES" sz="14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'ESTADÍSTICA GRAL'!$A$2:$A$3</c:f>
              <c:strCache>
                <c:ptCount val="2"/>
                <c:pt idx="0">
                  <c:v>HEMATOLOGÍA= 96</c:v>
                </c:pt>
                <c:pt idx="1">
                  <c:v>EXTERNOS= 59</c:v>
                </c:pt>
              </c:strCache>
            </c:strRef>
          </c:cat>
          <c:val>
            <c:numRef>
              <c:f>'ESTADÍSTICA GRAL'!$B$2:$B$3</c:f>
              <c:numCache>
                <c:formatCode>General</c:formatCode>
                <c:ptCount val="2"/>
                <c:pt idx="0">
                  <c:v>96</c:v>
                </c:pt>
                <c:pt idx="1">
                  <c:v>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10095581802275"/>
          <c:y val="0.148564814814815"/>
          <c:w val="0.779808617672791"/>
          <c:h val="0.1061063721201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3808a4-5ba2-4fb8-9ff0-763693e76a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>
                <a:solidFill>
                  <a:sysClr val="windowText" lastClr="000000"/>
                </a:solidFill>
              </a:rPr>
              <a:t>TIPO DE TRASPLANTE</a:t>
            </a:r>
            <a:endParaRPr lang="es-MX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'ESTADÍSTICA GRAL'!$A$7:$A$9</c:f>
              <c:strCache>
                <c:ptCount val="3"/>
                <c:pt idx="0">
                  <c:v>AUTÓLOGOS</c:v>
                </c:pt>
                <c:pt idx="1">
                  <c:v>ALOGÉNICOS</c:v>
                </c:pt>
                <c:pt idx="2">
                  <c:v>HAPLOIDÉNTICOS</c:v>
                </c:pt>
              </c:strCache>
            </c:strRef>
          </c:cat>
          <c:val>
            <c:numRef>
              <c:f>'ESTADÍSTICA GRAL'!$B$7:$B$9</c:f>
              <c:numCache>
                <c:formatCode>General</c:formatCode>
                <c:ptCount val="3"/>
                <c:pt idx="0">
                  <c:v>97</c:v>
                </c:pt>
                <c:pt idx="1">
                  <c:v>16</c:v>
                </c:pt>
                <c:pt idx="2">
                  <c:v>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343732544"/>
        <c:axId val="-1343741248"/>
      </c:barChart>
      <c:catAx>
        <c:axId val="-134373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-1343741248"/>
        <c:crosses val="autoZero"/>
        <c:auto val="1"/>
        <c:lblAlgn val="ctr"/>
        <c:lblOffset val="100"/>
        <c:noMultiLvlLbl val="0"/>
      </c:catAx>
      <c:valAx>
        <c:axId val="-134374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-134373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3c83cbc-15eb-456d-a1ae-b1d00121036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600" b="1" i="0" u="none" strike="noStrike" kern="1200" cap="all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'ESTADÍSTICA GRAL'!$B$33</c:f>
              <c:strCache>
                <c:ptCount val="1"/>
                <c:pt idx="0">
                  <c:v>DONADORES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0.0763889982502187"/>
                  <c:y val="0.064814814814814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s-E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6777777777778"/>
                      <c:h val="0.18340296004666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176388670166229"/>
                  <c:y val="-0.0509259259259259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s-E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6777777777778"/>
                      <c:h val="0.18340296004666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'ESTADÍSTICA GRAL'!$A$34:$A$35</c:f>
              <c:strCache>
                <c:ptCount val="2"/>
                <c:pt idx="0">
                  <c:v>PEDIÁTRICOS= 12</c:v>
                </c:pt>
                <c:pt idx="1">
                  <c:v>ADULTOS= 143</c:v>
                </c:pt>
              </c:strCache>
            </c:strRef>
          </c:cat>
          <c:val>
            <c:numRef>
              <c:f>'ESTADÍSTICA GRAL'!$B$34:$B$35</c:f>
              <c:numCache>
                <c:formatCode>General</c:formatCode>
                <c:ptCount val="2"/>
                <c:pt idx="0">
                  <c:v>12</c:v>
                </c:pt>
                <c:pt idx="1">
                  <c:v>143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3314b99-f98a-4649-9d55-de1c60ca94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600" b="1" i="0" u="none" strike="noStrike" kern="1200" cap="all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'ESTADÍSTICA GRAL'!$B$49</c:f>
              <c:strCache>
                <c:ptCount val="1"/>
                <c:pt idx="0">
                  <c:v>ORIGEN DE CPH</c:v>
                </c:pt>
              </c:strCache>
            </c:strRef>
          </c:tx>
          <c:spPr>
            <a:solidFill>
              <a:srgbClr val="990099"/>
            </a:solidFill>
          </c:spPr>
          <c:explosion val="0"/>
          <c:dPt>
            <c:idx val="0"/>
            <c:bubble3D val="0"/>
            <c:spPr>
              <a:solidFill>
                <a:srgbClr val="00CC99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rgbClr val="990099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0.25"/>
                  <c:y val="-0.40740740740740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s-E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3"/>
                  <c:y val="0.078703703703703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s-ES"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'ESTADÍSTICA GRAL'!$A$50:$A$51</c:f>
              <c:strCache>
                <c:ptCount val="2"/>
                <c:pt idx="0">
                  <c:v>SPM= 152</c:v>
                </c:pt>
                <c:pt idx="1">
                  <c:v>MO= 3</c:v>
                </c:pt>
              </c:strCache>
            </c:strRef>
          </c:cat>
          <c:val>
            <c:numRef>
              <c:f>'ESTADÍSTICA GRAL'!$B$50:$B$51</c:f>
              <c:numCache>
                <c:formatCode>General</c:formatCode>
                <c:ptCount val="2"/>
                <c:pt idx="0">
                  <c:v>152</c:v>
                </c:pt>
                <c:pt idx="1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cfaa940-ee3d-4564-8407-862692d37b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'ESTADÍSTICA GRAL'!$B$64</c:f>
              <c:strCache>
                <c:ptCount val="1"/>
                <c:pt idx="0">
                  <c:v>TIPO DE ACCESO</c:v>
                </c:pt>
              </c:strCache>
            </c:strRef>
          </c:tx>
          <c:spPr>
            <a:solidFill>
              <a:srgbClr val="990099"/>
            </a:solidFill>
          </c:spPr>
          <c:explosion val="0"/>
          <c:dPt>
            <c:idx val="0"/>
            <c:bubble3D val="0"/>
            <c:spPr>
              <a:solidFill>
                <a:srgbClr val="00CC99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bubble3D val="0"/>
            <c:spPr>
              <a:solidFill>
                <a:srgbClr val="990099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'ESTADÍSTICA GRAL'!$A$65:$A$66</c:f>
              <c:strCache>
                <c:ptCount val="2"/>
                <c:pt idx="0">
                  <c:v>CATÉTER</c:v>
                </c:pt>
                <c:pt idx="1">
                  <c:v>PUNCIÓN</c:v>
                </c:pt>
              </c:strCache>
            </c:strRef>
          </c:cat>
          <c:val>
            <c:numRef>
              <c:f>'ESTADÍSTICA GRAL'!$B$65:$B$66</c:f>
              <c:numCache>
                <c:formatCode>General</c:formatCode>
                <c:ptCount val="2"/>
                <c:pt idx="0">
                  <c:v>114</c:v>
                </c:pt>
                <c:pt idx="1">
                  <c:v>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0b21bb-aa16-4017-837f-6632ca5bd9f7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COLECTA</a:t>
            </a:r>
            <a:r>
              <a:rPr lang="en-US" baseline="0"/>
              <a:t> CPH S. DE HEMATOLOGÍA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 GRAL'!$B$79</c:f>
              <c:strCache>
                <c:ptCount val="1"/>
                <c:pt idx="0">
                  <c:v>MEDICINA TRANSFUSIONAL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990099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'ESTADÍSTICA GRAL'!$A$80:$A$88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'ESTADÍSTICA GRAL'!$B$80:$B$88</c:f>
              <c:numCache>
                <c:formatCode>General</c:formatCode>
                <c:ptCount val="9"/>
                <c:pt idx="0">
                  <c:v>63</c:v>
                </c:pt>
                <c:pt idx="1">
                  <c:v>120</c:v>
                </c:pt>
                <c:pt idx="2">
                  <c:v>191</c:v>
                </c:pt>
                <c:pt idx="3">
                  <c:v>109</c:v>
                </c:pt>
                <c:pt idx="4">
                  <c:v>122</c:v>
                </c:pt>
                <c:pt idx="5">
                  <c:v>156</c:v>
                </c:pt>
                <c:pt idx="6">
                  <c:v>172</c:v>
                </c:pt>
                <c:pt idx="7">
                  <c:v>199</c:v>
                </c:pt>
                <c:pt idx="8">
                  <c:v>155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343735808"/>
        <c:axId val="-1343744512"/>
      </c:barChart>
      <c:catAx>
        <c:axId val="-134373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-1343744512"/>
        <c:crosses val="autoZero"/>
        <c:auto val="1"/>
        <c:lblAlgn val="ctr"/>
        <c:lblOffset val="100"/>
        <c:noMultiLvlLbl val="0"/>
      </c:catAx>
      <c:valAx>
        <c:axId val="-1343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-134373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2add0b-43be-454b-9820-93b4bfe2aa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>
                <a:solidFill>
                  <a:sysClr val="windowText" lastClr="000000"/>
                </a:solidFill>
              </a:rPr>
              <a:t>OTROS PROCEDIMIENTOS 2023</a:t>
            </a:r>
            <a:endParaRPr lang="es-MX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 GRAL'!$B$97</c:f>
              <c:strCache>
                <c:ptCount val="1"/>
                <c:pt idx="0">
                  <c:v>OTROS PROCEDIMIENTOS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s-E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'ESTADÍSTICA GRAL'!$A$98:$A$100</c:f>
              <c:strCache>
                <c:ptCount val="3"/>
                <c:pt idx="0">
                  <c:v>ST ESTIMULADA</c:v>
                </c:pt>
                <c:pt idx="1">
                  <c:v>RECAMBIO ERITROCITARIO</c:v>
                </c:pt>
                <c:pt idx="2">
                  <c:v>MANUFACTURA CAR-T</c:v>
                </c:pt>
              </c:strCache>
            </c:strRef>
          </c:cat>
          <c:val>
            <c:numRef>
              <c:f>'ESTADÍSTICA GRAL'!$B$98:$B$100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'ESTADÍSTICA GRAL'!$C$97</c:f>
              <c:strCache>
                <c:ptCount val="1"/>
                <c:pt idx="0">
                  <c:v/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'ESTADÍSTICA GRAL'!$A$98:$A$100</c:f>
              <c:strCache>
                <c:ptCount val="3"/>
                <c:pt idx="0">
                  <c:v>ST ESTIMULADA</c:v>
                </c:pt>
                <c:pt idx="1">
                  <c:v>RECAMBIO ERITROCITARIO</c:v>
                </c:pt>
                <c:pt idx="2">
                  <c:v>MANUFACTURA CAR-T</c:v>
                </c:pt>
              </c:strCache>
            </c:strRef>
          </c:cat>
          <c:val>
            <c:numRef>
              <c:f>'ESTADÍSTICA GRAL'!$C$98:$C$101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-1343738528"/>
        <c:axId val="-1343734720"/>
      </c:barChart>
      <c:catAx>
        <c:axId val="-134373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-1343734720"/>
        <c:crosses val="autoZero"/>
        <c:auto val="1"/>
        <c:lblAlgn val="ctr"/>
        <c:lblOffset val="100"/>
        <c:noMultiLvlLbl val="0"/>
      </c:catAx>
      <c:valAx>
        <c:axId val="-134373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-134373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b1c6cf6-7dae-4493-8849-ab5b511ea08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SEPARADOR CELULAR EMPLEADOS</a:t>
            </a:r>
            <a:r>
              <a:rPr lang="en-US" baseline="0">
                <a:solidFill>
                  <a:sysClr val="windowText" lastClr="000000"/>
                </a:solidFill>
              </a:rPr>
              <a:t> 2023</a:t>
            </a:r>
            <a:endParaRPr lang="en-US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 GRAL'!$B$111</c:f>
              <c:strCache>
                <c:ptCount val="1"/>
                <c:pt idx="0">
                  <c:v>SEPARADOR CELULAR EMPLEADO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CC99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dLbl>
              <c:idx val="0"/>
              <c:layout>
                <c:manualLayout>
                  <c:x val="0.00833333333333333"/>
                  <c:y val="-0.041666666666666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1.0185067526416e-16"/>
                  <c:y val="-0.064814814814814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'ESTADÍSTICA GRAL'!$A$112:$A$113</c:f>
              <c:strCache>
                <c:ptCount val="2"/>
                <c:pt idx="0">
                  <c:v>OPTIA</c:v>
                </c:pt>
                <c:pt idx="1">
                  <c:v>AMICUS</c:v>
                </c:pt>
              </c:strCache>
            </c:strRef>
          </c:cat>
          <c:val>
            <c:numRef>
              <c:f>'ESTADÍSTICA GRAL'!$B$112:$B$113</c:f>
              <c:numCache>
                <c:formatCode>General</c:formatCode>
                <c:ptCount val="2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-1343742880"/>
        <c:axId val="-1343745600"/>
      </c:barChart>
      <c:catAx>
        <c:axId val="-134374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-1343745600"/>
        <c:crosses val="autoZero"/>
        <c:auto val="1"/>
        <c:lblAlgn val="ctr"/>
        <c:lblOffset val="100"/>
        <c:noMultiLvlLbl val="0"/>
      </c:catAx>
      <c:valAx>
        <c:axId val="-134374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-134374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35f1c0e-b7fb-4790-b1b9-3c12c7c253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chemeClr val="tx1"/>
                </a:solidFill>
              </a:rPr>
              <a:t>Recolecciones</a:t>
            </a:r>
            <a:r>
              <a:rPr lang="es-MX" b="1" baseline="0">
                <a:solidFill>
                  <a:schemeClr val="tx1"/>
                </a:solidFill>
              </a:rPr>
              <a:t> CPH 2023 (N=155)</a:t>
            </a:r>
            <a:endParaRPr lang="es-MX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3986001749781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 GRAL'!$B$128</c:f>
              <c:strCache>
                <c:ptCount val="1"/>
                <c:pt idx="0">
                  <c:v>AUTÓLOGO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'ESTADÍSTICA GRAL'!$A$129:$A$140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 GRAL'!$B$129:$B$140</c:f>
              <c:numCache>
                <c:formatCode>General</c:formatCode>
                <c:ptCount val="12"/>
                <c:pt idx="0">
                  <c:v>10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11</c:v>
                </c:pt>
                <c:pt idx="6">
                  <c:v>8</c:v>
                </c:pt>
                <c:pt idx="7">
                  <c:v>9</c:v>
                </c:pt>
                <c:pt idx="8">
                  <c:v>6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</c:ser>
        <c:ser>
          <c:idx val="1"/>
          <c:order val="1"/>
          <c:tx>
            <c:strRef>
              <c:f>'ESTADÍSTICA GRAL'!$C$128</c:f>
              <c:strCache>
                <c:ptCount val="1"/>
                <c:pt idx="0">
                  <c:v>ALOGÉNICO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'ESTADÍSTICA GRAL'!$A$129:$A$140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 GRAL'!$C$129:$C$140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'ESTADÍSTICA GRAL'!$D$128</c:f>
              <c:strCache>
                <c:ptCount val="1"/>
                <c:pt idx="0">
                  <c:v>HAPLOIDÉNTICO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'ESTADÍSTICA GRAL'!$A$129:$A$140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 GRAL'!$D$129:$D$140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1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343734176"/>
        <c:axId val="-1343733632"/>
      </c:barChart>
      <c:catAx>
        <c:axId val="-134373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343733632"/>
        <c:crosses val="autoZero"/>
        <c:auto val="1"/>
        <c:lblAlgn val="ctr"/>
        <c:lblOffset val="100"/>
        <c:noMultiLvlLbl val="0"/>
      </c:catAx>
      <c:valAx>
        <c:axId val="-134373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343734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e31c91-44c7-4933-9f13-a0464f5617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5.xml"/><Relationship Id="rId8" Type="http://schemas.openxmlformats.org/officeDocument/2006/relationships/chart" Target="../charts/chart14.xml"/><Relationship Id="rId7" Type="http://schemas.openxmlformats.org/officeDocument/2006/relationships/chart" Target="../charts/chart13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681037</xdr:colOff>
      <xdr:row>2</xdr:row>
      <xdr:rowOff>33337</xdr:rowOff>
    </xdr:from>
    <xdr:to>
      <xdr:col>8</xdr:col>
      <xdr:colOff>681037</xdr:colOff>
      <xdr:row>16</xdr:row>
      <xdr:rowOff>109537</xdr:rowOff>
    </xdr:to>
    <xdr:graphicFrame>
      <xdr:nvGraphicFramePr>
        <xdr:cNvPr id="3" name="Gráfico 2"/>
        <xdr:cNvGraphicFramePr/>
      </xdr:nvGraphicFramePr>
      <xdr:xfrm>
        <a:off x="2766695" y="41402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757237</xdr:colOff>
      <xdr:row>23</xdr:row>
      <xdr:rowOff>185737</xdr:rowOff>
    </xdr:from>
    <xdr:to>
      <xdr:col>8</xdr:col>
      <xdr:colOff>757237</xdr:colOff>
      <xdr:row>38</xdr:row>
      <xdr:rowOff>71437</xdr:rowOff>
    </xdr:to>
    <xdr:graphicFrame>
      <xdr:nvGraphicFramePr>
        <xdr:cNvPr id="4" name="Gráfico 3"/>
        <xdr:cNvGraphicFramePr/>
      </xdr:nvGraphicFramePr>
      <xdr:xfrm>
        <a:off x="2842895" y="456692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576262</xdr:colOff>
      <xdr:row>39</xdr:row>
      <xdr:rowOff>61912</xdr:rowOff>
    </xdr:from>
    <xdr:to>
      <xdr:col>8</xdr:col>
      <xdr:colOff>576262</xdr:colOff>
      <xdr:row>53</xdr:row>
      <xdr:rowOff>138112</xdr:rowOff>
    </xdr:to>
    <xdr:graphicFrame>
      <xdr:nvGraphicFramePr>
        <xdr:cNvPr id="5" name="Gráfico 4"/>
        <xdr:cNvGraphicFramePr/>
      </xdr:nvGraphicFramePr>
      <xdr:xfrm>
        <a:off x="2661920" y="74910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690562</xdr:colOff>
      <xdr:row>54</xdr:row>
      <xdr:rowOff>176212</xdr:rowOff>
    </xdr:from>
    <xdr:to>
      <xdr:col>8</xdr:col>
      <xdr:colOff>690562</xdr:colOff>
      <xdr:row>69</xdr:row>
      <xdr:rowOff>61912</xdr:rowOff>
    </xdr:to>
    <xdr:graphicFrame>
      <xdr:nvGraphicFramePr>
        <xdr:cNvPr id="6" name="Gráfico 5"/>
        <xdr:cNvGraphicFramePr/>
      </xdr:nvGraphicFramePr>
      <xdr:xfrm>
        <a:off x="2776220" y="104628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733431</xdr:colOff>
      <xdr:row>72</xdr:row>
      <xdr:rowOff>9525</xdr:rowOff>
    </xdr:from>
    <xdr:to>
      <xdr:col>8</xdr:col>
      <xdr:colOff>733431</xdr:colOff>
      <xdr:row>86</xdr:row>
      <xdr:rowOff>85725</xdr:rowOff>
    </xdr:to>
    <xdr:graphicFrame>
      <xdr:nvGraphicFramePr>
        <xdr:cNvPr id="7" name="Gráfico 6"/>
        <xdr:cNvGraphicFramePr/>
      </xdr:nvGraphicFramePr>
      <xdr:xfrm>
        <a:off x="2819400" y="137255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466724</xdr:colOff>
      <xdr:row>88</xdr:row>
      <xdr:rowOff>190499</xdr:rowOff>
    </xdr:from>
    <xdr:to>
      <xdr:col>12</xdr:col>
      <xdr:colOff>457199</xdr:colOff>
      <xdr:row>107</xdr:row>
      <xdr:rowOff>142875</xdr:rowOff>
    </xdr:to>
    <xdr:graphicFrame>
      <xdr:nvGraphicFramePr>
        <xdr:cNvPr id="11" name="Gráfico 10"/>
        <xdr:cNvGraphicFramePr/>
      </xdr:nvGraphicFramePr>
      <xdr:xfrm>
        <a:off x="4838065" y="16953865"/>
        <a:ext cx="5324475" cy="3572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504825</xdr:colOff>
      <xdr:row>0</xdr:row>
      <xdr:rowOff>0</xdr:rowOff>
    </xdr:from>
    <xdr:to>
      <xdr:col>8</xdr:col>
      <xdr:colOff>504825</xdr:colOff>
      <xdr:row>14</xdr:row>
      <xdr:rowOff>76200</xdr:rowOff>
    </xdr:to>
    <xdr:graphicFrame>
      <xdr:nvGraphicFramePr>
        <xdr:cNvPr id="2" name="Gráfico 1"/>
        <xdr:cNvGraphicFramePr/>
      </xdr:nvGraphicFramePr>
      <xdr:xfrm>
        <a:off x="2590800" y="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566737</xdr:colOff>
      <xdr:row>15</xdr:row>
      <xdr:rowOff>185737</xdr:rowOff>
    </xdr:from>
    <xdr:to>
      <xdr:col>8</xdr:col>
      <xdr:colOff>566737</xdr:colOff>
      <xdr:row>30</xdr:row>
      <xdr:rowOff>71437</xdr:rowOff>
    </xdr:to>
    <xdr:graphicFrame>
      <xdr:nvGraphicFramePr>
        <xdr:cNvPr id="3" name="Gráfico 2"/>
        <xdr:cNvGraphicFramePr/>
      </xdr:nvGraphicFramePr>
      <xdr:xfrm>
        <a:off x="2652395" y="304292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757237</xdr:colOff>
      <xdr:row>31</xdr:row>
      <xdr:rowOff>185737</xdr:rowOff>
    </xdr:from>
    <xdr:to>
      <xdr:col>8</xdr:col>
      <xdr:colOff>757237</xdr:colOff>
      <xdr:row>46</xdr:row>
      <xdr:rowOff>71437</xdr:rowOff>
    </xdr:to>
    <xdr:graphicFrame>
      <xdr:nvGraphicFramePr>
        <xdr:cNvPr id="4" name="Gráfico 3"/>
        <xdr:cNvGraphicFramePr/>
      </xdr:nvGraphicFramePr>
      <xdr:xfrm>
        <a:off x="2842895" y="609092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576262</xdr:colOff>
      <xdr:row>47</xdr:row>
      <xdr:rowOff>61912</xdr:rowOff>
    </xdr:from>
    <xdr:to>
      <xdr:col>8</xdr:col>
      <xdr:colOff>576262</xdr:colOff>
      <xdr:row>61</xdr:row>
      <xdr:rowOff>138112</xdr:rowOff>
    </xdr:to>
    <xdr:graphicFrame>
      <xdr:nvGraphicFramePr>
        <xdr:cNvPr id="5" name="Gráfico 4"/>
        <xdr:cNvGraphicFramePr/>
      </xdr:nvGraphicFramePr>
      <xdr:xfrm>
        <a:off x="2661920" y="90150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690562</xdr:colOff>
      <xdr:row>62</xdr:row>
      <xdr:rowOff>176212</xdr:rowOff>
    </xdr:from>
    <xdr:to>
      <xdr:col>8</xdr:col>
      <xdr:colOff>690562</xdr:colOff>
      <xdr:row>77</xdr:row>
      <xdr:rowOff>61912</xdr:rowOff>
    </xdr:to>
    <xdr:graphicFrame>
      <xdr:nvGraphicFramePr>
        <xdr:cNvPr id="6" name="Gráfico 5"/>
        <xdr:cNvGraphicFramePr/>
      </xdr:nvGraphicFramePr>
      <xdr:xfrm>
        <a:off x="2776220" y="119868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733431</xdr:colOff>
      <xdr:row>80</xdr:row>
      <xdr:rowOff>9525</xdr:rowOff>
    </xdr:from>
    <xdr:to>
      <xdr:col>8</xdr:col>
      <xdr:colOff>733431</xdr:colOff>
      <xdr:row>94</xdr:row>
      <xdr:rowOff>85725</xdr:rowOff>
    </xdr:to>
    <xdr:graphicFrame>
      <xdr:nvGraphicFramePr>
        <xdr:cNvPr id="7" name="Gráfico 6"/>
        <xdr:cNvGraphicFramePr/>
      </xdr:nvGraphicFramePr>
      <xdr:xfrm>
        <a:off x="2819400" y="152495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109537</xdr:colOff>
      <xdr:row>96</xdr:row>
      <xdr:rowOff>80962</xdr:rowOff>
    </xdr:from>
    <xdr:to>
      <xdr:col>9</xdr:col>
      <xdr:colOff>109537</xdr:colOff>
      <xdr:row>110</xdr:row>
      <xdr:rowOff>157162</xdr:rowOff>
    </xdr:to>
    <xdr:graphicFrame>
      <xdr:nvGraphicFramePr>
        <xdr:cNvPr id="8" name="Gráfico 7"/>
        <xdr:cNvGraphicFramePr/>
      </xdr:nvGraphicFramePr>
      <xdr:xfrm>
        <a:off x="2957195" y="183686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90487</xdr:colOff>
      <xdr:row>111</xdr:row>
      <xdr:rowOff>157162</xdr:rowOff>
    </xdr:from>
    <xdr:to>
      <xdr:col>9</xdr:col>
      <xdr:colOff>90487</xdr:colOff>
      <xdr:row>125</xdr:row>
      <xdr:rowOff>42862</xdr:rowOff>
    </xdr:to>
    <xdr:graphicFrame>
      <xdr:nvGraphicFramePr>
        <xdr:cNvPr id="9" name="Gráfico 8"/>
        <xdr:cNvGraphicFramePr/>
      </xdr:nvGraphicFramePr>
      <xdr:xfrm>
        <a:off x="2938145" y="21302345"/>
        <a:ext cx="457200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619125</xdr:colOff>
      <xdr:row>132</xdr:row>
      <xdr:rowOff>138112</xdr:rowOff>
    </xdr:from>
    <xdr:to>
      <xdr:col>11</xdr:col>
      <xdr:colOff>619125</xdr:colOff>
      <xdr:row>147</xdr:row>
      <xdr:rowOff>23812</xdr:rowOff>
    </xdr:to>
    <xdr:graphicFrame>
      <xdr:nvGraphicFramePr>
        <xdr:cNvPr id="10" name="Gráfico 9"/>
        <xdr:cNvGraphicFramePr/>
      </xdr:nvGraphicFramePr>
      <xdr:xfrm>
        <a:off x="4991100" y="252837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123"/>
  <sheetViews>
    <sheetView view="pageBreakPreview" zoomScale="96" zoomScaleNormal="96" workbookViewId="0">
      <pane xSplit="4" ySplit="1" topLeftCell="BY22" activePane="bottomRight" state="frozen"/>
      <selection/>
      <selection pane="topRight"/>
      <selection pane="bottomLeft"/>
      <selection pane="bottomRight" activeCell="C2" sqref="C2:D118"/>
    </sheetView>
  </sheetViews>
  <sheetFormatPr defaultColWidth="11.4285714285714" defaultRowHeight="15"/>
  <cols>
    <col min="1" max="1" width="11.4285714285714" style="13"/>
    <col min="2" max="2" width="11.4285714285714" style="13" customWidth="1"/>
    <col min="3" max="3" width="38.7142857142857" style="13" customWidth="1"/>
    <col min="4" max="4" width="34.8571428571429" style="13" customWidth="1"/>
    <col min="5" max="5" width="9.28571428571429" style="13" customWidth="1"/>
    <col min="6" max="8" width="11.4285714285714" style="13"/>
    <col min="9" max="9" width="12.8571428571429" style="13" customWidth="1"/>
    <col min="10" max="10" width="11.4285714285714" style="13"/>
    <col min="11" max="11" width="16" style="13" customWidth="1"/>
    <col min="12" max="15" width="11.4285714285714" style="13"/>
    <col min="16" max="16" width="11.4285714285714" style="31"/>
    <col min="17" max="17" width="11.4285714285714" style="16"/>
    <col min="18" max="21" width="11.4285714285714" style="13"/>
    <col min="22" max="22" width="11.4285714285714" style="16"/>
    <col min="23" max="23" width="11.4285714285714" style="87"/>
    <col min="24" max="24" width="12.7142857142857" style="13" customWidth="1"/>
    <col min="25" max="26" width="11.4285714285714" style="13"/>
    <col min="27" max="27" width="13.5714285714286" style="13" customWidth="1"/>
    <col min="28" max="44" width="11.4285714285714" style="13"/>
    <col min="45" max="45" width="11.4285714285714" style="16"/>
    <col min="46" max="49" width="11.4285714285714" style="13"/>
    <col min="50" max="51" width="11.4285714285714" style="16"/>
    <col min="52" max="52" width="11.4285714285714" style="31"/>
    <col min="53" max="56" width="11.4285714285714" style="13"/>
    <col min="57" max="57" width="11.4285714285714" style="16"/>
    <col min="58" max="59" width="11.4285714285714" style="13"/>
    <col min="60" max="60" width="12.7142857142857" style="31" customWidth="1"/>
    <col min="61" max="61" width="11.4285714285714" style="13"/>
    <col min="62" max="64" width="11.4285714285714" style="31"/>
    <col min="65" max="65" width="11.4285714285714" style="13"/>
    <col min="66" max="66" width="11.4285714285714" style="31"/>
    <col min="67" max="67" width="12.8571428571429" style="13" customWidth="1"/>
    <col min="68" max="68" width="12.8571428571429" style="16" customWidth="1"/>
    <col min="69" max="70" width="18" style="16" customWidth="1"/>
    <col min="71" max="71" width="18.2857142857143" style="102" customWidth="1"/>
    <col min="72" max="73" width="11.4285714285714" style="13"/>
    <col min="74" max="74" width="16.8571428571429" style="13" customWidth="1"/>
    <col min="75" max="75" width="11.4285714285714" style="13"/>
    <col min="76" max="76" width="12.8571428571429" style="31" customWidth="1"/>
    <col min="77" max="77" width="12.8571428571429" style="13" customWidth="1"/>
    <col min="78" max="83" width="11.4285714285714" style="13"/>
    <col min="85" max="16384" width="11.4285714285714" style="13"/>
  </cols>
  <sheetData>
    <row r="1" s="83" customFormat="1" ht="51.75" spans="1:9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8" t="s">
        <v>15</v>
      </c>
      <c r="Q1" s="14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14" t="s">
        <v>21</v>
      </c>
      <c r="W1" s="85" t="s">
        <v>22</v>
      </c>
      <c r="X1" s="9" t="s">
        <v>23</v>
      </c>
      <c r="Y1" s="9" t="s">
        <v>24</v>
      </c>
      <c r="Z1" s="9" t="s">
        <v>25</v>
      </c>
      <c r="AA1" s="18" t="s">
        <v>26</v>
      </c>
      <c r="AB1" s="21" t="s">
        <v>27</v>
      </c>
      <c r="AC1" s="22" t="s">
        <v>28</v>
      </c>
      <c r="AD1" s="23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33" t="s">
        <v>34</v>
      </c>
      <c r="AJ1" s="33" t="s">
        <v>35</v>
      </c>
      <c r="AK1" s="33" t="s">
        <v>36</v>
      </c>
      <c r="AL1" s="33" t="s">
        <v>37</v>
      </c>
      <c r="AM1" s="89" t="s">
        <v>38</v>
      </c>
      <c r="AN1" s="89" t="s">
        <v>39</v>
      </c>
      <c r="AO1" s="89" t="s">
        <v>40</v>
      </c>
      <c r="AP1" s="89" t="s">
        <v>41</v>
      </c>
      <c r="AQ1" s="25" t="s">
        <v>42</v>
      </c>
      <c r="AR1" s="25" t="s">
        <v>43</v>
      </c>
      <c r="AS1" s="90" t="s">
        <v>44</v>
      </c>
      <c r="AT1" s="25" t="s">
        <v>45</v>
      </c>
      <c r="AU1" s="25" t="s">
        <v>46</v>
      </c>
      <c r="AV1" s="27" t="s">
        <v>47</v>
      </c>
      <c r="AW1" s="27" t="s">
        <v>48</v>
      </c>
      <c r="AX1" s="91" t="s">
        <v>49</v>
      </c>
      <c r="AY1" s="122" t="s">
        <v>50</v>
      </c>
      <c r="AZ1" s="29" t="s">
        <v>51</v>
      </c>
      <c r="BA1" s="27" t="s">
        <v>52</v>
      </c>
      <c r="BB1" s="27" t="s">
        <v>53</v>
      </c>
      <c r="BC1" s="92" t="s">
        <v>54</v>
      </c>
      <c r="BD1" s="92" t="s">
        <v>55</v>
      </c>
      <c r="BE1" s="91" t="s">
        <v>56</v>
      </c>
      <c r="BF1" s="93" t="s">
        <v>57</v>
      </c>
      <c r="BG1" s="92" t="s">
        <v>58</v>
      </c>
      <c r="BH1" s="94" t="s">
        <v>59</v>
      </c>
      <c r="BI1" s="95" t="s">
        <v>60</v>
      </c>
      <c r="BJ1" s="96" t="s">
        <v>61</v>
      </c>
      <c r="BK1" s="96" t="s">
        <v>62</v>
      </c>
      <c r="BL1" s="96" t="s">
        <v>63</v>
      </c>
      <c r="BM1" s="96" t="s">
        <v>64</v>
      </c>
      <c r="BN1" s="96" t="s">
        <v>65</v>
      </c>
      <c r="BO1" s="98" t="s">
        <v>66</v>
      </c>
      <c r="BP1" s="99" t="s">
        <v>67</v>
      </c>
      <c r="BQ1" s="99" t="s">
        <v>68</v>
      </c>
      <c r="BR1" s="99" t="s">
        <v>69</v>
      </c>
      <c r="BS1" s="100" t="s">
        <v>70</v>
      </c>
      <c r="BT1" s="101" t="s">
        <v>71</v>
      </c>
      <c r="BU1" s="24" t="s">
        <v>72</v>
      </c>
      <c r="BV1" s="24" t="s">
        <v>73</v>
      </c>
      <c r="BW1" s="24" t="s">
        <v>74</v>
      </c>
      <c r="BX1" s="104" t="s">
        <v>75</v>
      </c>
      <c r="BY1" s="105" t="s">
        <v>76</v>
      </c>
      <c r="BZ1" s="106" t="s">
        <v>77</v>
      </c>
      <c r="CA1" s="106" t="s">
        <v>78</v>
      </c>
      <c r="CB1" s="107" t="s">
        <v>79</v>
      </c>
      <c r="CC1" s="107" t="s">
        <v>80</v>
      </c>
      <c r="CD1" s="107" t="s">
        <v>81</v>
      </c>
      <c r="CE1" s="107" t="s">
        <v>82</v>
      </c>
      <c r="CF1" s="107" t="s">
        <v>83</v>
      </c>
      <c r="CG1" s="108" t="s">
        <v>84</v>
      </c>
      <c r="CH1" s="108" t="s">
        <v>85</v>
      </c>
      <c r="CI1" s="107" t="s">
        <v>86</v>
      </c>
      <c r="CJ1" s="109" t="s">
        <v>87</v>
      </c>
      <c r="CK1" s="107" t="s">
        <v>88</v>
      </c>
      <c r="CL1" s="110" t="s">
        <v>89</v>
      </c>
      <c r="CM1" s="111" t="s">
        <v>90</v>
      </c>
    </row>
    <row r="2" spans="1:83">
      <c r="A2" s="12">
        <v>45671</v>
      </c>
      <c r="B2" s="13">
        <v>25010026</v>
      </c>
      <c r="C2" s="13"/>
      <c r="D2" s="13"/>
      <c r="E2" s="13">
        <v>1</v>
      </c>
      <c r="F2" s="13" t="s">
        <v>91</v>
      </c>
      <c r="G2" s="13">
        <v>56</v>
      </c>
      <c r="H2" s="13">
        <v>56</v>
      </c>
      <c r="I2" s="13" t="s">
        <v>92</v>
      </c>
      <c r="J2" s="13" t="s">
        <v>93</v>
      </c>
      <c r="K2" s="13" t="s">
        <v>94</v>
      </c>
      <c r="L2" s="13">
        <v>900</v>
      </c>
      <c r="M2" s="13">
        <v>4</v>
      </c>
      <c r="N2" s="13">
        <v>0.24</v>
      </c>
      <c r="O2" s="13">
        <v>84</v>
      </c>
      <c r="P2" s="31">
        <v>1.78</v>
      </c>
      <c r="Q2" s="16">
        <f t="shared" ref="Q2:Q65" si="0">O2/(P2*P2)</f>
        <v>26.5118040651433</v>
      </c>
      <c r="R2" s="13">
        <v>84</v>
      </c>
      <c r="S2" s="13" t="s">
        <v>95</v>
      </c>
      <c r="T2" s="13">
        <v>354</v>
      </c>
      <c r="U2" s="13">
        <v>5377</v>
      </c>
      <c r="V2" s="16">
        <f t="shared" ref="V2" si="1">X2/U2</f>
        <v>5.00018597731077</v>
      </c>
      <c r="W2" s="86">
        <f>X2-Y2</f>
        <v>25568</v>
      </c>
      <c r="X2" s="13">
        <v>26886</v>
      </c>
      <c r="Y2" s="13">
        <v>1318</v>
      </c>
      <c r="Z2" s="13">
        <v>328</v>
      </c>
      <c r="AA2" s="13">
        <v>333.2</v>
      </c>
      <c r="AB2" s="13" t="s">
        <v>96</v>
      </c>
      <c r="AC2" s="13" t="s">
        <v>97</v>
      </c>
      <c r="AD2" s="13" t="s">
        <v>98</v>
      </c>
      <c r="AE2" s="13">
        <v>60</v>
      </c>
      <c r="AF2" s="13">
        <v>75</v>
      </c>
      <c r="AG2" s="13">
        <v>90</v>
      </c>
      <c r="AH2" s="13" t="s">
        <v>99</v>
      </c>
      <c r="AI2" s="13" t="s">
        <v>100</v>
      </c>
      <c r="AJ2" s="13" t="s">
        <v>101</v>
      </c>
      <c r="AK2" s="13" t="s">
        <v>102</v>
      </c>
      <c r="AL2" s="13" t="s">
        <v>102</v>
      </c>
      <c r="AM2" s="13" t="s">
        <v>100</v>
      </c>
      <c r="AN2" s="13" t="s">
        <v>101</v>
      </c>
      <c r="AO2" s="13" t="s">
        <v>102</v>
      </c>
      <c r="AP2" s="13" t="s">
        <v>102</v>
      </c>
      <c r="AQ2" s="13">
        <v>91.34</v>
      </c>
      <c r="AR2" s="13">
        <v>11.9</v>
      </c>
      <c r="AS2" s="16">
        <f t="shared" ref="AS2:AS65" si="2">AR2*AQ2/100</f>
        <v>10.86946</v>
      </c>
      <c r="AT2" s="13">
        <v>33.8</v>
      </c>
      <c r="AU2" s="13">
        <v>222</v>
      </c>
      <c r="AV2" s="13">
        <v>281.14</v>
      </c>
      <c r="AW2" s="13">
        <v>98.8</v>
      </c>
      <c r="AX2" s="16">
        <f t="shared" ref="AX2:AX65" si="3">AW2*AV2/100</f>
        <v>277.76632</v>
      </c>
      <c r="AY2" s="16">
        <f>(AX2*AA2)/1000</f>
        <v>92.551737824</v>
      </c>
      <c r="AZ2" s="31">
        <v>1.3</v>
      </c>
      <c r="BA2" s="13">
        <v>0.16</v>
      </c>
      <c r="BB2" s="13">
        <v>2621</v>
      </c>
      <c r="BC2" s="13">
        <v>91.53</v>
      </c>
      <c r="BD2" s="13">
        <v>6.9</v>
      </c>
      <c r="BE2" s="16">
        <f t="shared" ref="BE2:BE65" si="4">BD2*BC2/100</f>
        <v>6.31557</v>
      </c>
      <c r="BF2" s="13">
        <v>34.4</v>
      </c>
      <c r="BG2" s="13">
        <v>106</v>
      </c>
      <c r="BH2" s="31">
        <v>4.3</v>
      </c>
      <c r="BI2" s="13">
        <v>38.3</v>
      </c>
      <c r="BJ2" s="31">
        <v>1212.7</v>
      </c>
      <c r="BK2" s="31">
        <v>404</v>
      </c>
      <c r="BL2" s="31">
        <v>4.8</v>
      </c>
      <c r="BM2" s="13">
        <v>280123</v>
      </c>
      <c r="BN2" s="31">
        <v>99.5</v>
      </c>
      <c r="BO2" s="13" t="s">
        <v>103</v>
      </c>
      <c r="BP2" s="16">
        <f t="shared" ref="BP2:BP48" si="5">(X2-Y2)/1000</f>
        <v>25.568</v>
      </c>
      <c r="BQ2" s="16">
        <f t="shared" ref="BQ2:BQ48" si="6">(BK2/(BI2*BP2))*100</f>
        <v>41.2558779414216</v>
      </c>
      <c r="BR2" s="16">
        <f>(AY2/(AS2*BP2))*100</f>
        <v>33.302731161927</v>
      </c>
      <c r="BS2" s="102" t="s">
        <v>104</v>
      </c>
      <c r="BT2" s="13" t="s">
        <v>102</v>
      </c>
      <c r="BU2" s="13" t="s">
        <v>105</v>
      </c>
      <c r="BV2" s="12">
        <v>45672</v>
      </c>
      <c r="BW2" s="13" t="s">
        <v>105</v>
      </c>
      <c r="BX2" s="31">
        <v>4.8</v>
      </c>
      <c r="BY2" s="13" t="s">
        <v>103</v>
      </c>
      <c r="BZ2" s="13" t="s">
        <v>103</v>
      </c>
      <c r="CA2" s="13" t="s">
        <v>103</v>
      </c>
      <c r="CD2" s="13" t="s">
        <v>106</v>
      </c>
      <c r="CE2" s="13" t="s">
        <v>106</v>
      </c>
    </row>
    <row r="3" spans="1:83">
      <c r="A3" s="12">
        <v>45671</v>
      </c>
      <c r="B3" s="13">
        <v>25010027</v>
      </c>
      <c r="C3" s="13"/>
      <c r="D3" s="13"/>
      <c r="E3" s="13">
        <v>1</v>
      </c>
      <c r="F3" s="13" t="s">
        <v>91</v>
      </c>
      <c r="G3" s="13">
        <v>29</v>
      </c>
      <c r="H3" s="13">
        <v>29</v>
      </c>
      <c r="I3" s="13" t="s">
        <v>92</v>
      </c>
      <c r="J3" s="13" t="s">
        <v>107</v>
      </c>
      <c r="K3" s="13" t="s">
        <v>94</v>
      </c>
      <c r="L3" s="13">
        <v>900</v>
      </c>
      <c r="M3" s="13">
        <v>4</v>
      </c>
      <c r="N3" s="13" t="s">
        <v>103</v>
      </c>
      <c r="O3" s="13">
        <v>90</v>
      </c>
      <c r="P3" s="31">
        <v>1.74</v>
      </c>
      <c r="Q3" s="16">
        <f t="shared" si="0"/>
        <v>29.7265160523187</v>
      </c>
      <c r="R3" s="13">
        <v>90</v>
      </c>
      <c r="S3" s="13" t="s">
        <v>95</v>
      </c>
      <c r="T3" s="13">
        <v>331</v>
      </c>
      <c r="U3" s="13">
        <v>5434</v>
      </c>
      <c r="V3" s="16">
        <f t="shared" ref="V3:V47" si="7">X3/U3</f>
        <v>5.00018402649982</v>
      </c>
      <c r="W3" s="87">
        <f t="shared" ref="W3:W47" si="8">X3-Y3</f>
        <v>25855</v>
      </c>
      <c r="X3" s="13">
        <v>27171</v>
      </c>
      <c r="Y3" s="13">
        <v>1316</v>
      </c>
      <c r="Z3" s="13">
        <v>318</v>
      </c>
      <c r="AA3" s="13">
        <v>324.9</v>
      </c>
      <c r="AB3" s="13" t="s">
        <v>96</v>
      </c>
      <c r="AC3" s="13" t="s">
        <v>108</v>
      </c>
      <c r="AD3" s="13" t="s">
        <v>98</v>
      </c>
      <c r="AE3" s="13">
        <v>80</v>
      </c>
      <c r="AF3" s="13">
        <v>85</v>
      </c>
      <c r="AG3" s="13">
        <v>90</v>
      </c>
      <c r="AH3" s="13" t="s">
        <v>109</v>
      </c>
      <c r="AI3" s="13" t="s">
        <v>100</v>
      </c>
      <c r="AJ3" s="13" t="s">
        <v>101</v>
      </c>
      <c r="AK3" s="13" t="s">
        <v>102</v>
      </c>
      <c r="AL3" s="13">
        <v>160.5</v>
      </c>
      <c r="AM3" s="13" t="s">
        <v>100</v>
      </c>
      <c r="AN3" s="13" t="s">
        <v>101</v>
      </c>
      <c r="AO3" s="13" t="s">
        <v>102</v>
      </c>
      <c r="AP3" s="13">
        <v>160.5</v>
      </c>
      <c r="AQ3" s="13">
        <v>40.16</v>
      </c>
      <c r="AR3" s="13">
        <v>17</v>
      </c>
      <c r="AS3" s="16">
        <f t="shared" si="2"/>
        <v>6.8272</v>
      </c>
      <c r="AT3" s="13">
        <v>42.7</v>
      </c>
      <c r="AU3" s="13">
        <v>182</v>
      </c>
      <c r="AV3" s="13">
        <v>344.87</v>
      </c>
      <c r="AW3" s="13">
        <v>68</v>
      </c>
      <c r="AX3" s="16">
        <f t="shared" si="3"/>
        <v>234.5116</v>
      </c>
      <c r="AY3" s="16">
        <f t="shared" ref="AY3:AY66" si="9">(AX3*AA3)/1000</f>
        <v>76.19281884</v>
      </c>
      <c r="AZ3" s="31">
        <v>2.5</v>
      </c>
      <c r="BA3" s="13">
        <v>0.19</v>
      </c>
      <c r="BB3" s="13">
        <v>1880</v>
      </c>
      <c r="BC3" s="13">
        <v>48.78</v>
      </c>
      <c r="BD3" s="13">
        <v>8.1</v>
      </c>
      <c r="BE3" s="16">
        <f t="shared" si="4"/>
        <v>3.95118</v>
      </c>
      <c r="BF3" s="13">
        <v>42.3</v>
      </c>
      <c r="BG3" s="13">
        <v>82</v>
      </c>
      <c r="BH3" s="31">
        <v>21</v>
      </c>
      <c r="BI3" s="13">
        <v>32.1</v>
      </c>
      <c r="BJ3" s="31">
        <v>1034.6</v>
      </c>
      <c r="BK3" s="31">
        <v>336.1</v>
      </c>
      <c r="BL3" s="31">
        <v>3.7</v>
      </c>
      <c r="BM3" s="13">
        <v>356122</v>
      </c>
      <c r="BN3" s="31">
        <v>99.4</v>
      </c>
      <c r="BO3" s="13" t="s">
        <v>103</v>
      </c>
      <c r="BP3" s="16">
        <f t="shared" si="5"/>
        <v>25.855</v>
      </c>
      <c r="BQ3" s="16">
        <f t="shared" si="6"/>
        <v>40.4966350200104</v>
      </c>
      <c r="BR3" s="16">
        <f t="shared" ref="BR3:BR66" si="10">(AY3/(AS3*BP3))*100</f>
        <v>43.1645157910227</v>
      </c>
      <c r="BS3" s="102">
        <f t="shared" ref="BS3:BS48" si="11">(1-(BG3/AU3))*100</f>
        <v>54.9450549450549</v>
      </c>
      <c r="BT3" s="13" t="s">
        <v>102</v>
      </c>
      <c r="BU3" s="13" t="s">
        <v>105</v>
      </c>
      <c r="BV3" s="12">
        <v>45673</v>
      </c>
      <c r="BW3" s="13" t="s">
        <v>105</v>
      </c>
      <c r="BX3" s="31">
        <v>3.7</v>
      </c>
      <c r="BY3" s="13" t="s">
        <v>103</v>
      </c>
      <c r="BZ3" s="13" t="s">
        <v>103</v>
      </c>
      <c r="CA3" s="13" t="s">
        <v>103</v>
      </c>
      <c r="CD3" s="13" t="s">
        <v>106</v>
      </c>
      <c r="CE3" s="13" t="s">
        <v>106</v>
      </c>
    </row>
    <row r="4" spans="1:83">
      <c r="A4" s="12">
        <v>45672</v>
      </c>
      <c r="B4" s="13">
        <v>25010030</v>
      </c>
      <c r="C4" s="13"/>
      <c r="D4" s="13"/>
      <c r="E4" s="13">
        <v>1</v>
      </c>
      <c r="F4" s="13" t="s">
        <v>91</v>
      </c>
      <c r="G4" s="13">
        <v>66</v>
      </c>
      <c r="H4" s="13">
        <v>66</v>
      </c>
      <c r="I4" s="13" t="s">
        <v>92</v>
      </c>
      <c r="J4" s="13" t="s">
        <v>93</v>
      </c>
      <c r="K4" s="13" t="s">
        <v>94</v>
      </c>
      <c r="L4" s="13">
        <v>600</v>
      </c>
      <c r="M4" s="13">
        <v>4</v>
      </c>
      <c r="N4" s="13">
        <v>0.24</v>
      </c>
      <c r="O4" s="13">
        <v>68</v>
      </c>
      <c r="P4" s="31">
        <v>1.64</v>
      </c>
      <c r="Q4" s="16">
        <f t="shared" si="0"/>
        <v>25.2825698988697</v>
      </c>
      <c r="R4" s="13">
        <v>68</v>
      </c>
      <c r="S4" s="13" t="s">
        <v>95</v>
      </c>
      <c r="T4" s="13">
        <v>283</v>
      </c>
      <c r="U4" s="13">
        <v>4411</v>
      </c>
      <c r="V4" s="16">
        <f t="shared" si="7"/>
        <v>5.00022670596237</v>
      </c>
      <c r="W4" s="87">
        <f t="shared" si="8"/>
        <v>20907</v>
      </c>
      <c r="X4" s="13">
        <v>22056</v>
      </c>
      <c r="Y4" s="13">
        <v>1149</v>
      </c>
      <c r="Z4" s="13">
        <v>264</v>
      </c>
      <c r="AA4" s="13">
        <v>263.8</v>
      </c>
      <c r="AB4" s="13" t="s">
        <v>96</v>
      </c>
      <c r="AC4" s="13" t="s">
        <v>108</v>
      </c>
      <c r="AD4" s="13" t="s">
        <v>98</v>
      </c>
      <c r="AE4" s="13">
        <v>79</v>
      </c>
      <c r="AF4" s="13">
        <v>82.5</v>
      </c>
      <c r="AG4" s="13">
        <v>85</v>
      </c>
      <c r="AH4" s="13" t="s">
        <v>99</v>
      </c>
      <c r="AI4" s="13" t="s">
        <v>110</v>
      </c>
      <c r="AJ4" s="13" t="s">
        <v>101</v>
      </c>
      <c r="AK4" s="13" t="s">
        <v>102</v>
      </c>
      <c r="AL4" s="13" t="s">
        <v>102</v>
      </c>
      <c r="AM4" s="13" t="s">
        <v>110</v>
      </c>
      <c r="AN4" s="13" t="s">
        <v>101</v>
      </c>
      <c r="AO4" s="13" t="s">
        <v>102</v>
      </c>
      <c r="AP4" s="13" t="s">
        <v>102</v>
      </c>
      <c r="AQ4" s="13">
        <v>62.09</v>
      </c>
      <c r="AR4" s="13">
        <v>17.4</v>
      </c>
      <c r="AS4" s="16">
        <f t="shared" si="2"/>
        <v>10.80366</v>
      </c>
      <c r="AT4" s="13">
        <v>25.1</v>
      </c>
      <c r="AU4" s="13">
        <v>292</v>
      </c>
      <c r="AV4" s="13">
        <v>941.3</v>
      </c>
      <c r="AW4" s="13">
        <v>29.7</v>
      </c>
      <c r="AX4" s="16">
        <f t="shared" si="3"/>
        <v>279.5661</v>
      </c>
      <c r="AY4" s="16">
        <f t="shared" si="9"/>
        <v>73.74953718</v>
      </c>
      <c r="AZ4" s="31">
        <v>0.3</v>
      </c>
      <c r="BA4" s="13">
        <v>0.03</v>
      </c>
      <c r="BB4" s="13">
        <v>1260</v>
      </c>
      <c r="BC4" s="13">
        <v>35.23</v>
      </c>
      <c r="BD4" s="13">
        <v>13.1</v>
      </c>
      <c r="BE4" s="16">
        <f t="shared" si="4"/>
        <v>4.61513</v>
      </c>
      <c r="BF4" s="13">
        <v>23.5</v>
      </c>
      <c r="BG4" s="13">
        <v>214</v>
      </c>
      <c r="BH4" s="31">
        <v>15</v>
      </c>
      <c r="BI4" s="13">
        <v>82.8</v>
      </c>
      <c r="BJ4" s="31">
        <v>2130.4</v>
      </c>
      <c r="BK4" s="31">
        <v>561.9</v>
      </c>
      <c r="BL4" s="31">
        <v>8.2</v>
      </c>
      <c r="BM4" s="13">
        <v>931511</v>
      </c>
      <c r="BN4" s="31">
        <v>98.6</v>
      </c>
      <c r="BO4" s="13" t="s">
        <v>103</v>
      </c>
      <c r="BP4" s="16">
        <f t="shared" si="5"/>
        <v>20.907</v>
      </c>
      <c r="BQ4" s="16">
        <f t="shared" si="6"/>
        <v>32.459137533161</v>
      </c>
      <c r="BR4" s="16">
        <f t="shared" si="10"/>
        <v>32.6510139029438</v>
      </c>
      <c r="BS4" s="102">
        <f t="shared" si="11"/>
        <v>26.7123287671233</v>
      </c>
      <c r="BT4" s="13" t="s">
        <v>102</v>
      </c>
      <c r="BU4" s="13" t="s">
        <v>105</v>
      </c>
      <c r="BV4" s="12">
        <v>45673</v>
      </c>
      <c r="BW4" s="13" t="s">
        <v>105</v>
      </c>
      <c r="BX4" s="31">
        <v>8.2</v>
      </c>
      <c r="BY4" s="13" t="s">
        <v>103</v>
      </c>
      <c r="BZ4" s="13" t="s">
        <v>103</v>
      </c>
      <c r="CA4" s="13" t="s">
        <v>103</v>
      </c>
      <c r="CD4" s="13" t="s">
        <v>106</v>
      </c>
      <c r="CE4" s="13" t="s">
        <v>106</v>
      </c>
    </row>
    <row r="5" spans="1:83">
      <c r="A5" s="12">
        <v>45673</v>
      </c>
      <c r="B5" s="13">
        <v>25010039</v>
      </c>
      <c r="C5" s="13"/>
      <c r="D5" s="13"/>
      <c r="E5" s="13">
        <v>1</v>
      </c>
      <c r="F5" s="13" t="s">
        <v>111</v>
      </c>
      <c r="G5" s="13">
        <v>30</v>
      </c>
      <c r="H5" s="13">
        <v>30</v>
      </c>
      <c r="I5" s="13" t="s">
        <v>92</v>
      </c>
      <c r="J5" s="13" t="s">
        <v>112</v>
      </c>
      <c r="K5" s="13" t="s">
        <v>94</v>
      </c>
      <c r="L5" s="13">
        <v>600</v>
      </c>
      <c r="M5" s="13">
        <v>4</v>
      </c>
      <c r="N5" s="13" t="s">
        <v>103</v>
      </c>
      <c r="O5" s="13">
        <v>60.9</v>
      </c>
      <c r="P5" s="31">
        <v>1.44</v>
      </c>
      <c r="Q5" s="16">
        <f t="shared" si="0"/>
        <v>29.369212962963</v>
      </c>
      <c r="R5" s="13">
        <v>60.9</v>
      </c>
      <c r="S5" s="13" t="s">
        <v>95</v>
      </c>
      <c r="T5" s="13">
        <v>230</v>
      </c>
      <c r="U5" s="13">
        <v>3264</v>
      </c>
      <c r="V5" s="16">
        <f t="shared" si="7"/>
        <v>5.00030637254902</v>
      </c>
      <c r="W5" s="87">
        <f t="shared" si="8"/>
        <v>15484</v>
      </c>
      <c r="X5" s="13">
        <v>16321</v>
      </c>
      <c r="Y5" s="13">
        <v>837</v>
      </c>
      <c r="Z5" s="13">
        <v>185</v>
      </c>
      <c r="AA5" s="13">
        <v>180</v>
      </c>
      <c r="AB5" s="13" t="s">
        <v>96</v>
      </c>
      <c r="AC5" s="13" t="s">
        <v>108</v>
      </c>
      <c r="AD5" s="13" t="s">
        <v>98</v>
      </c>
      <c r="AE5" s="13">
        <v>60</v>
      </c>
      <c r="AF5" s="13">
        <v>70</v>
      </c>
      <c r="AG5" s="13">
        <v>80</v>
      </c>
      <c r="AH5" s="13" t="s">
        <v>109</v>
      </c>
      <c r="AI5" s="13" t="s">
        <v>100</v>
      </c>
      <c r="AJ5" s="13" t="s">
        <v>101</v>
      </c>
      <c r="AK5" s="13" t="s">
        <v>102</v>
      </c>
      <c r="AL5" s="13" t="s">
        <v>113</v>
      </c>
      <c r="AM5" s="13" t="s">
        <v>100</v>
      </c>
      <c r="AN5" s="13" t="s">
        <v>101</v>
      </c>
      <c r="AO5" s="13" t="s">
        <v>102</v>
      </c>
      <c r="AP5" s="13" t="s">
        <v>113</v>
      </c>
      <c r="AQ5" s="13">
        <v>47.27</v>
      </c>
      <c r="AR5" s="13">
        <v>14</v>
      </c>
      <c r="AS5" s="16">
        <f t="shared" si="2"/>
        <v>6.6178</v>
      </c>
      <c r="AT5" s="13">
        <v>36.3</v>
      </c>
      <c r="AU5" s="13">
        <v>154</v>
      </c>
      <c r="AV5" s="13">
        <v>289.96</v>
      </c>
      <c r="AW5" s="13">
        <v>72.1</v>
      </c>
      <c r="AX5" s="16">
        <f t="shared" si="3"/>
        <v>209.06116</v>
      </c>
      <c r="AY5" s="16">
        <f t="shared" si="9"/>
        <v>37.6310088</v>
      </c>
      <c r="AZ5" s="31">
        <v>2.2</v>
      </c>
      <c r="BA5" s="13">
        <v>0.18</v>
      </c>
      <c r="BB5" s="13">
        <v>1574</v>
      </c>
      <c r="BC5" s="13">
        <v>36.67</v>
      </c>
      <c r="BD5" s="13">
        <v>8.6</v>
      </c>
      <c r="BE5" s="16">
        <f t="shared" si="4"/>
        <v>3.15362</v>
      </c>
      <c r="BF5" s="13">
        <v>35.6</v>
      </c>
      <c r="BG5" s="13">
        <v>75</v>
      </c>
      <c r="BH5" s="31">
        <v>37.7</v>
      </c>
      <c r="BI5" s="13">
        <v>37.8</v>
      </c>
      <c r="BJ5" s="31">
        <v>1393.2</v>
      </c>
      <c r="BK5" s="31">
        <v>250.7</v>
      </c>
      <c r="BL5" s="31">
        <v>4.1</v>
      </c>
      <c r="BM5" s="13">
        <v>299608</v>
      </c>
      <c r="BN5" s="31">
        <v>98.8</v>
      </c>
      <c r="BO5" s="13" t="s">
        <v>103</v>
      </c>
      <c r="BP5" s="16">
        <f t="shared" si="5"/>
        <v>15.484</v>
      </c>
      <c r="BQ5" s="16">
        <f t="shared" si="6"/>
        <v>42.8330866202217</v>
      </c>
      <c r="BR5" s="16">
        <f t="shared" si="10"/>
        <v>36.7239223362582</v>
      </c>
      <c r="BS5" s="102">
        <f t="shared" si="11"/>
        <v>51.2987012987013</v>
      </c>
      <c r="BT5" s="13" t="s">
        <v>102</v>
      </c>
      <c r="BU5" s="13" t="s">
        <v>105</v>
      </c>
      <c r="BV5" s="12">
        <v>45675</v>
      </c>
      <c r="BW5" s="13" t="s">
        <v>105</v>
      </c>
      <c r="BX5" s="31">
        <v>4.1</v>
      </c>
      <c r="BY5" s="13" t="s">
        <v>103</v>
      </c>
      <c r="BZ5" s="13" t="s">
        <v>103</v>
      </c>
      <c r="CA5" s="13" t="s">
        <v>103</v>
      </c>
      <c r="CB5" s="13" t="s">
        <v>114</v>
      </c>
      <c r="CD5" s="13" t="s">
        <v>106</v>
      </c>
      <c r="CE5" s="13" t="s">
        <v>106</v>
      </c>
    </row>
    <row r="6" spans="1:83">
      <c r="A6" s="12">
        <v>45673</v>
      </c>
      <c r="B6" s="13">
        <v>25010040</v>
      </c>
      <c r="C6" s="13"/>
      <c r="D6" s="13"/>
      <c r="E6" s="13">
        <v>1</v>
      </c>
      <c r="F6" s="13" t="s">
        <v>111</v>
      </c>
      <c r="G6" s="13">
        <v>16</v>
      </c>
      <c r="H6" s="13">
        <v>16</v>
      </c>
      <c r="I6" s="13" t="s">
        <v>92</v>
      </c>
      <c r="J6" s="13" t="s">
        <v>115</v>
      </c>
      <c r="K6" s="13" t="s">
        <v>116</v>
      </c>
      <c r="L6" s="13">
        <v>600</v>
      </c>
      <c r="M6" s="13">
        <v>5</v>
      </c>
      <c r="N6" s="13" t="s">
        <v>103</v>
      </c>
      <c r="O6" s="13">
        <v>58</v>
      </c>
      <c r="P6" s="31">
        <v>1.58</v>
      </c>
      <c r="Q6" s="16">
        <f t="shared" si="0"/>
        <v>23.2334561768947</v>
      </c>
      <c r="R6" s="13">
        <v>58</v>
      </c>
      <c r="S6" s="13" t="s">
        <v>95</v>
      </c>
      <c r="T6" s="13">
        <v>144</v>
      </c>
      <c r="U6" s="13">
        <v>3507</v>
      </c>
      <c r="V6" s="16">
        <f t="shared" si="7"/>
        <v>3.00028514399772</v>
      </c>
      <c r="W6" s="87">
        <f t="shared" si="8"/>
        <v>9993</v>
      </c>
      <c r="X6" s="13">
        <v>10522</v>
      </c>
      <c r="Y6" s="13">
        <v>529</v>
      </c>
      <c r="Z6" s="13">
        <v>117</v>
      </c>
      <c r="AA6" s="13">
        <v>115.2</v>
      </c>
      <c r="AB6" s="13" t="s">
        <v>96</v>
      </c>
      <c r="AC6" s="13" t="s">
        <v>97</v>
      </c>
      <c r="AD6" s="13" t="s">
        <v>98</v>
      </c>
      <c r="AE6" s="13">
        <v>80</v>
      </c>
      <c r="AF6" s="13">
        <v>80</v>
      </c>
      <c r="AG6" s="13">
        <v>80</v>
      </c>
      <c r="AH6" s="13" t="s">
        <v>109</v>
      </c>
      <c r="AI6" s="13" t="s">
        <v>100</v>
      </c>
      <c r="AJ6" s="13" t="s">
        <v>101</v>
      </c>
      <c r="AK6" s="13" t="s">
        <v>102</v>
      </c>
      <c r="AL6" s="13" t="s">
        <v>102</v>
      </c>
      <c r="AM6" s="13" t="s">
        <v>100</v>
      </c>
      <c r="AN6" s="13" t="s">
        <v>101</v>
      </c>
      <c r="AO6" s="13" t="s">
        <v>102</v>
      </c>
      <c r="AP6" s="13" t="s">
        <v>102</v>
      </c>
      <c r="AQ6" s="13">
        <v>2.56</v>
      </c>
      <c r="AR6" s="13">
        <v>40.2</v>
      </c>
      <c r="AS6" s="16">
        <f t="shared" si="2"/>
        <v>1.02912</v>
      </c>
      <c r="AT6" s="13">
        <v>34.6</v>
      </c>
      <c r="AU6" s="13">
        <v>41</v>
      </c>
      <c r="AV6" s="13">
        <v>165.79</v>
      </c>
      <c r="AW6" s="13">
        <v>42.6</v>
      </c>
      <c r="AX6" s="16">
        <f t="shared" si="3"/>
        <v>70.62654</v>
      </c>
      <c r="AY6" s="16">
        <f t="shared" si="9"/>
        <v>8.136177408</v>
      </c>
      <c r="AZ6" s="31">
        <v>2.1</v>
      </c>
      <c r="BA6" s="13">
        <v>0.21</v>
      </c>
      <c r="BB6" s="13">
        <v>556</v>
      </c>
      <c r="BC6" s="13">
        <v>3.95</v>
      </c>
      <c r="BD6" s="13">
        <v>27.1</v>
      </c>
      <c r="BE6" s="16">
        <f t="shared" si="4"/>
        <v>1.07045</v>
      </c>
      <c r="BF6" s="13">
        <v>30.4</v>
      </c>
      <c r="BG6" s="13">
        <v>33</v>
      </c>
      <c r="BH6" s="31" t="s">
        <v>103</v>
      </c>
      <c r="BI6" s="13">
        <v>30.6</v>
      </c>
      <c r="BJ6" s="31">
        <v>3916.9</v>
      </c>
      <c r="BK6" s="31">
        <v>451.2</v>
      </c>
      <c r="BL6" s="31">
        <v>7.7</v>
      </c>
      <c r="BM6" s="13">
        <v>187903</v>
      </c>
      <c r="BN6" s="31">
        <v>99.3</v>
      </c>
      <c r="BO6" s="13" t="s">
        <v>103</v>
      </c>
      <c r="BP6" s="16">
        <f t="shared" si="5"/>
        <v>9.993</v>
      </c>
      <c r="BQ6" s="16">
        <f t="shared" si="6"/>
        <v>147.554268380023</v>
      </c>
      <c r="BR6" s="16">
        <f t="shared" si="10"/>
        <v>79.1149401596043</v>
      </c>
      <c r="BS6" s="102">
        <f t="shared" si="11"/>
        <v>19.5121951219512</v>
      </c>
      <c r="BT6" s="13" t="s">
        <v>102</v>
      </c>
      <c r="BU6" s="13" t="s">
        <v>105</v>
      </c>
      <c r="BV6" s="12">
        <v>45677</v>
      </c>
      <c r="BW6" s="13" t="s">
        <v>105</v>
      </c>
      <c r="BX6" s="31">
        <v>7.7</v>
      </c>
      <c r="BY6" s="13" t="s">
        <v>103</v>
      </c>
      <c r="BZ6" s="13" t="s">
        <v>103</v>
      </c>
      <c r="CA6" s="13" t="s">
        <v>103</v>
      </c>
      <c r="CD6" s="13" t="s">
        <v>106</v>
      </c>
      <c r="CE6" s="13" t="s">
        <v>106</v>
      </c>
    </row>
    <row r="7" spans="1:83">
      <c r="A7" s="12">
        <v>45675</v>
      </c>
      <c r="B7" s="13">
        <v>25010047</v>
      </c>
      <c r="C7" s="13"/>
      <c r="D7" s="13"/>
      <c r="E7" s="13">
        <v>1</v>
      </c>
      <c r="F7" s="13" t="s">
        <v>111</v>
      </c>
      <c r="G7" s="13">
        <v>41</v>
      </c>
      <c r="H7" s="13">
        <v>41</v>
      </c>
      <c r="I7" s="13" t="s">
        <v>92</v>
      </c>
      <c r="J7" s="13" t="s">
        <v>117</v>
      </c>
      <c r="K7" s="13" t="s">
        <v>118</v>
      </c>
      <c r="L7" s="13">
        <v>600</v>
      </c>
      <c r="M7" s="13">
        <v>7</v>
      </c>
      <c r="N7" s="13" t="s">
        <v>103</v>
      </c>
      <c r="O7" s="13">
        <v>57</v>
      </c>
      <c r="P7" s="31">
        <v>1.7</v>
      </c>
      <c r="Q7" s="16">
        <f t="shared" si="0"/>
        <v>19.7231833910035</v>
      </c>
      <c r="R7" s="13">
        <v>57</v>
      </c>
      <c r="S7" s="13" t="s">
        <v>95</v>
      </c>
      <c r="T7" s="13">
        <v>189</v>
      </c>
      <c r="U7" s="13">
        <v>3818</v>
      </c>
      <c r="V7" s="16">
        <f t="shared" si="7"/>
        <v>4.00026191723415</v>
      </c>
      <c r="W7" s="87">
        <f t="shared" si="8"/>
        <v>14522</v>
      </c>
      <c r="X7" s="13">
        <v>15273</v>
      </c>
      <c r="Y7" s="13">
        <v>751</v>
      </c>
      <c r="Z7" s="13">
        <v>169</v>
      </c>
      <c r="AA7" s="13">
        <v>156.9</v>
      </c>
      <c r="AB7" s="13" t="s">
        <v>96</v>
      </c>
      <c r="AC7" s="13" t="s">
        <v>108</v>
      </c>
      <c r="AD7" s="13" t="s">
        <v>98</v>
      </c>
      <c r="AE7" s="13">
        <v>80</v>
      </c>
      <c r="AF7" s="13">
        <v>85</v>
      </c>
      <c r="AG7" s="13">
        <v>90</v>
      </c>
      <c r="AH7" s="13" t="s">
        <v>99</v>
      </c>
      <c r="AI7" s="13" t="s">
        <v>110</v>
      </c>
      <c r="AJ7" s="13" t="s">
        <v>101</v>
      </c>
      <c r="AK7" s="13" t="s">
        <v>102</v>
      </c>
      <c r="AL7" s="13" t="s">
        <v>102</v>
      </c>
      <c r="AM7" s="13" t="s">
        <v>110</v>
      </c>
      <c r="AN7" s="13" t="s">
        <v>101</v>
      </c>
      <c r="AO7" s="13" t="s">
        <v>102</v>
      </c>
      <c r="AP7" s="13" t="s">
        <v>102</v>
      </c>
      <c r="AQ7" s="13">
        <v>4.4</v>
      </c>
      <c r="AR7" s="13">
        <v>30</v>
      </c>
      <c r="AS7" s="16">
        <f t="shared" si="2"/>
        <v>1.32</v>
      </c>
      <c r="AT7" s="13">
        <v>36.8</v>
      </c>
      <c r="AU7" s="13">
        <v>101</v>
      </c>
      <c r="AV7" s="13">
        <v>130.3</v>
      </c>
      <c r="AW7" s="13">
        <v>25.3</v>
      </c>
      <c r="AX7" s="16">
        <f t="shared" si="3"/>
        <v>32.9659</v>
      </c>
      <c r="AY7" s="16">
        <f t="shared" si="9"/>
        <v>5.17234971</v>
      </c>
      <c r="AZ7" s="31">
        <v>1.7</v>
      </c>
      <c r="BA7" s="13">
        <v>0.17</v>
      </c>
      <c r="BB7" s="13">
        <v>1159</v>
      </c>
      <c r="BC7" s="13">
        <v>5.76</v>
      </c>
      <c r="BD7" s="13">
        <v>11.8</v>
      </c>
      <c r="BE7" s="16">
        <f t="shared" si="4"/>
        <v>0.67968</v>
      </c>
      <c r="BF7" s="13">
        <v>34.8</v>
      </c>
      <c r="BG7" s="13">
        <v>63</v>
      </c>
      <c r="BH7" s="31" t="s">
        <v>103</v>
      </c>
      <c r="BI7" s="13">
        <v>21.8</v>
      </c>
      <c r="BJ7" s="31">
        <v>975.3</v>
      </c>
      <c r="BK7" s="31">
        <v>153</v>
      </c>
      <c r="BL7" s="31">
        <v>2.6</v>
      </c>
      <c r="BM7" s="13">
        <v>126814</v>
      </c>
      <c r="BN7" s="31">
        <v>99</v>
      </c>
      <c r="BO7" s="13" t="s">
        <v>103</v>
      </c>
      <c r="BP7" s="16">
        <f t="shared" si="5"/>
        <v>14.522</v>
      </c>
      <c r="BQ7" s="16">
        <f t="shared" si="6"/>
        <v>48.3290774263408</v>
      </c>
      <c r="BR7" s="16">
        <f t="shared" si="10"/>
        <v>26.9828312215948</v>
      </c>
      <c r="BS7" s="102">
        <f t="shared" si="11"/>
        <v>37.6237623762376</v>
      </c>
      <c r="BT7" s="13" t="s">
        <v>102</v>
      </c>
      <c r="BU7" s="13" t="s">
        <v>119</v>
      </c>
      <c r="BV7" s="12">
        <v>45678</v>
      </c>
      <c r="BW7" s="13" t="s">
        <v>119</v>
      </c>
      <c r="BX7" s="31">
        <v>2.6</v>
      </c>
      <c r="BY7" s="13" t="s">
        <v>103</v>
      </c>
      <c r="BZ7" s="13" t="s">
        <v>103</v>
      </c>
      <c r="CA7" s="13" t="s">
        <v>103</v>
      </c>
      <c r="CD7" s="13" t="s">
        <v>106</v>
      </c>
      <c r="CE7" s="13" t="s">
        <v>106</v>
      </c>
    </row>
    <row r="8" spans="1:79">
      <c r="A8" s="12">
        <v>45678</v>
      </c>
      <c r="B8" s="13">
        <v>25010055</v>
      </c>
      <c r="C8" s="13"/>
      <c r="D8" s="13"/>
      <c r="E8" s="13">
        <v>1</v>
      </c>
      <c r="F8" s="13" t="s">
        <v>111</v>
      </c>
      <c r="G8" s="13">
        <v>32</v>
      </c>
      <c r="H8" s="13">
        <v>46</v>
      </c>
      <c r="I8" s="13" t="s">
        <v>120</v>
      </c>
      <c r="J8" s="13" t="s">
        <v>112</v>
      </c>
      <c r="K8" s="13" t="s">
        <v>94</v>
      </c>
      <c r="L8" s="13">
        <v>600</v>
      </c>
      <c r="M8" s="13">
        <v>4</v>
      </c>
      <c r="N8" s="13" t="s">
        <v>103</v>
      </c>
      <c r="O8" s="13">
        <v>72</v>
      </c>
      <c r="P8" s="31">
        <v>1.7</v>
      </c>
      <c r="Q8" s="16">
        <f t="shared" si="0"/>
        <v>24.9134948096886</v>
      </c>
      <c r="R8" s="13">
        <v>52</v>
      </c>
      <c r="S8" s="13" t="s">
        <v>95</v>
      </c>
      <c r="T8" s="13">
        <v>270</v>
      </c>
      <c r="U8" s="13">
        <v>4724</v>
      </c>
      <c r="V8" s="16">
        <f t="shared" si="7"/>
        <v>3.5002116850127</v>
      </c>
      <c r="W8" s="87">
        <f t="shared" si="8"/>
        <v>15722</v>
      </c>
      <c r="X8" s="13">
        <v>16535</v>
      </c>
      <c r="Y8" s="13">
        <v>813</v>
      </c>
      <c r="Z8" s="13">
        <v>250</v>
      </c>
      <c r="AA8" s="13">
        <v>245.2</v>
      </c>
      <c r="AB8" s="13" t="s">
        <v>96</v>
      </c>
      <c r="AC8" s="13" t="s">
        <v>121</v>
      </c>
      <c r="AD8" s="13" t="s">
        <v>122</v>
      </c>
      <c r="AE8" s="13">
        <v>55</v>
      </c>
      <c r="AF8" s="13">
        <v>65.5</v>
      </c>
      <c r="AG8" s="13">
        <v>76</v>
      </c>
      <c r="AH8" s="13" t="s">
        <v>109</v>
      </c>
      <c r="AI8" s="13" t="s">
        <v>123</v>
      </c>
      <c r="AJ8" s="13" t="s">
        <v>101</v>
      </c>
      <c r="AK8" s="13" t="s">
        <v>102</v>
      </c>
      <c r="AL8" s="13">
        <v>122.8</v>
      </c>
      <c r="AM8" s="13" t="s">
        <v>100</v>
      </c>
      <c r="AN8" s="13" t="s">
        <v>101</v>
      </c>
      <c r="AO8" s="13" t="s">
        <v>102</v>
      </c>
      <c r="AP8" s="13" t="s">
        <v>113</v>
      </c>
      <c r="AQ8" s="13">
        <v>58.55</v>
      </c>
      <c r="AR8" s="13">
        <v>19</v>
      </c>
      <c r="AS8" s="16">
        <f t="shared" si="2"/>
        <v>11.1245</v>
      </c>
      <c r="AT8" s="13">
        <v>50.9</v>
      </c>
      <c r="AU8" s="13">
        <v>213</v>
      </c>
      <c r="AV8" s="13">
        <v>338.95</v>
      </c>
      <c r="AW8" s="13">
        <v>75.8</v>
      </c>
      <c r="AX8" s="16">
        <f t="shared" si="3"/>
        <v>256.9241</v>
      </c>
      <c r="AY8" s="16">
        <f t="shared" si="9"/>
        <v>62.99778932</v>
      </c>
      <c r="AZ8" s="31">
        <v>2.8</v>
      </c>
      <c r="BA8" s="13">
        <v>0.35</v>
      </c>
      <c r="BB8" s="13">
        <v>2993</v>
      </c>
      <c r="BC8" s="13">
        <v>40.24</v>
      </c>
      <c r="BD8" s="13">
        <v>9.5</v>
      </c>
      <c r="BE8" s="16">
        <f t="shared" si="4"/>
        <v>3.8228</v>
      </c>
      <c r="BF8" s="13">
        <v>49.1</v>
      </c>
      <c r="BG8" s="13">
        <v>63</v>
      </c>
      <c r="BH8" s="31">
        <v>34.1</v>
      </c>
      <c r="BI8" s="13">
        <v>52.1</v>
      </c>
      <c r="BJ8" s="31">
        <v>1561.3</v>
      </c>
      <c r="BK8" s="31">
        <v>382.8</v>
      </c>
      <c r="BL8" s="31">
        <v>7.3</v>
      </c>
      <c r="BM8" s="13">
        <v>364984</v>
      </c>
      <c r="BN8" s="31">
        <v>99.2</v>
      </c>
      <c r="BO8" s="13" t="s">
        <v>103</v>
      </c>
      <c r="BP8" s="16">
        <f t="shared" si="5"/>
        <v>15.722</v>
      </c>
      <c r="BQ8" s="16">
        <f t="shared" si="6"/>
        <v>46.7332962038841</v>
      </c>
      <c r="BR8" s="16">
        <f t="shared" si="10"/>
        <v>36.0194450536359</v>
      </c>
      <c r="BS8" s="102">
        <f t="shared" si="11"/>
        <v>70.4225352112676</v>
      </c>
      <c r="BT8" s="13" t="s">
        <v>102</v>
      </c>
      <c r="BU8" s="13" t="s">
        <v>105</v>
      </c>
      <c r="BV8" s="12">
        <v>45681</v>
      </c>
      <c r="BW8" s="13" t="s">
        <v>105</v>
      </c>
      <c r="BX8" s="31">
        <v>7.3</v>
      </c>
      <c r="BY8" s="13" t="s">
        <v>103</v>
      </c>
      <c r="BZ8" s="13" t="s">
        <v>103</v>
      </c>
      <c r="CA8" s="13" t="s">
        <v>103</v>
      </c>
    </row>
    <row r="9" spans="1:79">
      <c r="A9" s="12">
        <v>45680</v>
      </c>
      <c r="B9" s="13">
        <v>25010066</v>
      </c>
      <c r="C9" s="13"/>
      <c r="D9" s="13"/>
      <c r="E9" s="13">
        <v>1</v>
      </c>
      <c r="F9" s="13" t="s">
        <v>91</v>
      </c>
      <c r="G9" s="13">
        <v>29</v>
      </c>
      <c r="H9" s="13">
        <v>59</v>
      </c>
      <c r="I9" s="13" t="s">
        <v>124</v>
      </c>
      <c r="J9" s="13" t="s">
        <v>125</v>
      </c>
      <c r="K9" s="13" t="s">
        <v>94</v>
      </c>
      <c r="L9" s="13">
        <v>900</v>
      </c>
      <c r="M9" s="13">
        <v>4</v>
      </c>
      <c r="N9" s="13" t="s">
        <v>103</v>
      </c>
      <c r="O9" s="13">
        <v>85</v>
      </c>
      <c r="P9" s="31">
        <v>1.82</v>
      </c>
      <c r="Q9" s="16">
        <f t="shared" si="0"/>
        <v>25.6611520347784</v>
      </c>
      <c r="R9" s="13">
        <v>87</v>
      </c>
      <c r="S9" s="13" t="s">
        <v>95</v>
      </c>
      <c r="T9" s="13">
        <v>300</v>
      </c>
      <c r="U9" s="13">
        <v>5552</v>
      </c>
      <c r="V9" s="16">
        <f t="shared" si="7"/>
        <v>4.50018011527377</v>
      </c>
      <c r="W9" s="87">
        <f t="shared" si="8"/>
        <v>23771</v>
      </c>
      <c r="X9" s="13">
        <v>24985</v>
      </c>
      <c r="Y9" s="13">
        <v>1214</v>
      </c>
      <c r="Z9" s="13">
        <v>269</v>
      </c>
      <c r="AA9" s="13">
        <v>263.1</v>
      </c>
      <c r="AB9" s="13" t="s">
        <v>96</v>
      </c>
      <c r="AC9" s="13" t="s">
        <v>121</v>
      </c>
      <c r="AD9" s="13" t="s">
        <v>98</v>
      </c>
      <c r="AE9" s="13">
        <v>80</v>
      </c>
      <c r="AF9" s="13">
        <v>90</v>
      </c>
      <c r="AG9" s="13">
        <v>90</v>
      </c>
      <c r="AH9" s="13" t="s">
        <v>126</v>
      </c>
      <c r="AI9" s="13" t="s">
        <v>100</v>
      </c>
      <c r="AJ9" s="13" t="s">
        <v>101</v>
      </c>
      <c r="AK9" s="13" t="s">
        <v>102</v>
      </c>
      <c r="AL9" s="13">
        <v>119.4</v>
      </c>
      <c r="AM9" s="13" t="s">
        <v>100</v>
      </c>
      <c r="AN9" s="13" t="s">
        <v>101</v>
      </c>
      <c r="AO9" s="11">
        <v>7.4</v>
      </c>
      <c r="AP9" s="13">
        <v>91.9</v>
      </c>
      <c r="AQ9" s="13">
        <v>55.96</v>
      </c>
      <c r="AR9" s="13">
        <v>19</v>
      </c>
      <c r="AS9" s="16">
        <f t="shared" si="2"/>
        <v>10.6324</v>
      </c>
      <c r="AT9" s="13">
        <v>49</v>
      </c>
      <c r="AU9" s="13">
        <v>142</v>
      </c>
      <c r="AV9" s="13">
        <v>421.14</v>
      </c>
      <c r="AW9" s="13">
        <v>79.7</v>
      </c>
      <c r="AX9" s="16">
        <f t="shared" si="3"/>
        <v>335.64858</v>
      </c>
      <c r="AY9" s="16">
        <f t="shared" si="9"/>
        <v>88.309141398</v>
      </c>
      <c r="AZ9" s="31">
        <v>4.1</v>
      </c>
      <c r="BA9" s="13">
        <v>0.6</v>
      </c>
      <c r="BB9" s="13">
        <v>2609</v>
      </c>
      <c r="BC9" s="13">
        <v>42.02</v>
      </c>
      <c r="BD9" s="13">
        <v>12</v>
      </c>
      <c r="BE9" s="16">
        <f t="shared" si="4"/>
        <v>5.0424</v>
      </c>
      <c r="BF9" s="13">
        <v>49.7</v>
      </c>
      <c r="BG9" s="13">
        <v>44</v>
      </c>
      <c r="BH9" s="31">
        <v>49.8</v>
      </c>
      <c r="BI9" s="13">
        <v>78.4</v>
      </c>
      <c r="BJ9" s="31">
        <v>2473</v>
      </c>
      <c r="BK9" s="31">
        <v>650.6</v>
      </c>
      <c r="BL9" s="31">
        <v>7.4</v>
      </c>
      <c r="BM9" s="13">
        <v>412650</v>
      </c>
      <c r="BN9" s="31">
        <v>99.2</v>
      </c>
      <c r="BO9" s="13" t="s">
        <v>103</v>
      </c>
      <c r="BP9" s="16">
        <f t="shared" si="5"/>
        <v>23.771</v>
      </c>
      <c r="BQ9" s="16">
        <f t="shared" si="6"/>
        <v>34.910055899016</v>
      </c>
      <c r="BR9" s="16">
        <f t="shared" si="10"/>
        <v>34.9403220373847</v>
      </c>
      <c r="BS9" s="102">
        <f t="shared" si="11"/>
        <v>69.0140845070423</v>
      </c>
      <c r="BT9" s="13" t="s">
        <v>102</v>
      </c>
      <c r="BU9" s="13" t="s">
        <v>105</v>
      </c>
      <c r="BV9" s="12">
        <v>45682</v>
      </c>
      <c r="BW9" s="13" t="s">
        <v>105</v>
      </c>
      <c r="BX9" s="31">
        <v>7.4</v>
      </c>
      <c r="BY9" s="13" t="s">
        <v>103</v>
      </c>
      <c r="BZ9" s="13" t="s">
        <v>103</v>
      </c>
      <c r="CA9" s="13" t="s">
        <v>103</v>
      </c>
    </row>
    <row r="10" spans="1:79">
      <c r="A10" s="12">
        <v>45692</v>
      </c>
      <c r="B10" s="13">
        <v>25020001</v>
      </c>
      <c r="C10" s="13"/>
      <c r="D10" s="13"/>
      <c r="E10" s="13">
        <v>1</v>
      </c>
      <c r="F10" s="13" t="s">
        <v>91</v>
      </c>
      <c r="G10" s="13">
        <v>11</v>
      </c>
      <c r="H10" s="13">
        <v>17</v>
      </c>
      <c r="I10" s="13" t="s">
        <v>120</v>
      </c>
      <c r="J10" s="13" t="s">
        <v>112</v>
      </c>
      <c r="K10" s="13" t="s">
        <v>94</v>
      </c>
      <c r="L10" s="13">
        <v>600</v>
      </c>
      <c r="M10" s="13">
        <v>4</v>
      </c>
      <c r="N10" s="13" t="s">
        <v>103</v>
      </c>
      <c r="O10" s="13">
        <v>58.9</v>
      </c>
      <c r="P10" s="31">
        <v>1.58</v>
      </c>
      <c r="Q10" s="16">
        <f t="shared" si="0"/>
        <v>23.5939753244672</v>
      </c>
      <c r="R10" s="13">
        <v>67.6</v>
      </c>
      <c r="S10" s="13" t="s">
        <v>95</v>
      </c>
      <c r="T10" s="13">
        <v>193</v>
      </c>
      <c r="U10" s="13">
        <v>3950</v>
      </c>
      <c r="V10" s="16">
        <f t="shared" si="7"/>
        <v>3.50025316455696</v>
      </c>
      <c r="W10" s="87">
        <f t="shared" si="8"/>
        <v>13144</v>
      </c>
      <c r="X10" s="13">
        <v>13826</v>
      </c>
      <c r="Y10" s="13">
        <v>682</v>
      </c>
      <c r="Z10" s="13">
        <v>173</v>
      </c>
      <c r="AA10" s="13">
        <v>171.3</v>
      </c>
      <c r="AB10" s="13" t="s">
        <v>96</v>
      </c>
      <c r="AC10" s="13" t="s">
        <v>108</v>
      </c>
      <c r="AD10" s="13" t="s">
        <v>98</v>
      </c>
      <c r="AE10" s="13">
        <v>70</v>
      </c>
      <c r="AF10" s="13">
        <v>75</v>
      </c>
      <c r="AG10" s="13">
        <v>80</v>
      </c>
      <c r="AH10" s="13" t="s">
        <v>99</v>
      </c>
      <c r="AI10" s="13" t="s">
        <v>100</v>
      </c>
      <c r="AJ10" s="13" t="s">
        <v>101</v>
      </c>
      <c r="AK10" s="13" t="s">
        <v>102</v>
      </c>
      <c r="AL10" s="13">
        <v>158.4</v>
      </c>
      <c r="AM10" s="13" t="s">
        <v>100</v>
      </c>
      <c r="AN10" s="13" t="s">
        <v>101</v>
      </c>
      <c r="AO10" s="13" t="s">
        <v>102</v>
      </c>
      <c r="AP10" s="13">
        <v>120.9</v>
      </c>
      <c r="AQ10" s="13">
        <v>66.94</v>
      </c>
      <c r="AR10" s="13">
        <v>17.6</v>
      </c>
      <c r="AS10" s="16">
        <f t="shared" si="2"/>
        <v>11.78144</v>
      </c>
      <c r="AT10" s="13">
        <v>36.4</v>
      </c>
      <c r="AU10" s="13">
        <v>232</v>
      </c>
      <c r="AV10" s="13">
        <v>628.9</v>
      </c>
      <c r="AW10" s="13">
        <v>64.9</v>
      </c>
      <c r="AX10" s="16">
        <f t="shared" si="3"/>
        <v>408.1561</v>
      </c>
      <c r="AY10" s="16">
        <f t="shared" si="9"/>
        <v>69.91713993</v>
      </c>
      <c r="AZ10" s="31">
        <v>0.4</v>
      </c>
      <c r="BA10" s="13">
        <v>0.03</v>
      </c>
      <c r="BB10" s="13">
        <v>2070</v>
      </c>
      <c r="BC10" s="13">
        <v>49.2</v>
      </c>
      <c r="BD10" s="13">
        <v>12.5</v>
      </c>
      <c r="BE10" s="16">
        <f t="shared" si="4"/>
        <v>6.15</v>
      </c>
      <c r="BF10" s="13">
        <v>34.4</v>
      </c>
      <c r="BG10" s="13">
        <v>128</v>
      </c>
      <c r="BH10" s="31" t="s">
        <v>103</v>
      </c>
      <c r="BI10" s="13">
        <v>111.4</v>
      </c>
      <c r="BJ10" s="31">
        <v>3653.9</v>
      </c>
      <c r="BK10" s="31">
        <v>625.9</v>
      </c>
      <c r="BL10" s="31">
        <v>9.2</v>
      </c>
      <c r="BM10" s="13">
        <v>601275</v>
      </c>
      <c r="BN10" s="31">
        <v>99.4</v>
      </c>
      <c r="BO10" s="13" t="s">
        <v>103</v>
      </c>
      <c r="BP10" s="16">
        <f t="shared" si="5"/>
        <v>13.144</v>
      </c>
      <c r="BQ10" s="16">
        <f t="shared" si="6"/>
        <v>42.7456780356466</v>
      </c>
      <c r="BR10" s="16">
        <f t="shared" si="10"/>
        <v>45.1499972535383</v>
      </c>
      <c r="BS10" s="102">
        <f t="shared" si="11"/>
        <v>44.8275862068966</v>
      </c>
      <c r="BT10" s="13" t="s">
        <v>102</v>
      </c>
      <c r="BU10" s="13" t="s">
        <v>105</v>
      </c>
      <c r="BV10" s="12">
        <v>45695</v>
      </c>
      <c r="BW10" s="13" t="s">
        <v>105</v>
      </c>
      <c r="BX10" s="31">
        <v>9.2</v>
      </c>
      <c r="BY10" s="13" t="s">
        <v>103</v>
      </c>
      <c r="BZ10" s="13" t="s">
        <v>103</v>
      </c>
      <c r="CA10" s="13" t="s">
        <v>103</v>
      </c>
    </row>
    <row r="11" spans="1:83">
      <c r="A11" s="12">
        <v>45694</v>
      </c>
      <c r="B11" s="13">
        <v>25020006</v>
      </c>
      <c r="C11" s="13"/>
      <c r="D11" s="13"/>
      <c r="E11" s="13">
        <v>1</v>
      </c>
      <c r="F11" s="13" t="s">
        <v>91</v>
      </c>
      <c r="G11" s="13">
        <v>20</v>
      </c>
      <c r="H11" s="13">
        <v>20</v>
      </c>
      <c r="I11" s="13" t="s">
        <v>92</v>
      </c>
      <c r="J11" s="13" t="s">
        <v>115</v>
      </c>
      <c r="K11" s="13" t="s">
        <v>94</v>
      </c>
      <c r="L11" s="13">
        <v>900</v>
      </c>
      <c r="M11" s="13">
        <v>4</v>
      </c>
      <c r="N11" s="13" t="s">
        <v>103</v>
      </c>
      <c r="O11" s="13">
        <v>94</v>
      </c>
      <c r="P11" s="31">
        <v>1.76</v>
      </c>
      <c r="Q11" s="16">
        <f t="shared" si="0"/>
        <v>30.3460743801653</v>
      </c>
      <c r="R11" s="13">
        <v>94</v>
      </c>
      <c r="S11" s="13" t="s">
        <v>95</v>
      </c>
      <c r="T11" s="13">
        <v>164</v>
      </c>
      <c r="U11" s="13">
        <v>5630</v>
      </c>
      <c r="V11" s="16">
        <f t="shared" si="7"/>
        <v>2.20017761989343</v>
      </c>
      <c r="W11" s="87">
        <f t="shared" si="8"/>
        <v>11761</v>
      </c>
      <c r="X11" s="13">
        <v>12387</v>
      </c>
      <c r="Y11" s="13">
        <v>626</v>
      </c>
      <c r="Z11" s="13">
        <v>120</v>
      </c>
      <c r="AA11" s="13">
        <v>119.9</v>
      </c>
      <c r="AB11" s="13" t="s">
        <v>96</v>
      </c>
      <c r="AC11" s="13" t="s">
        <v>108</v>
      </c>
      <c r="AD11" s="13" t="s">
        <v>98</v>
      </c>
      <c r="AE11" s="13">
        <v>80</v>
      </c>
      <c r="AF11" s="13">
        <v>80</v>
      </c>
      <c r="AG11" s="13">
        <v>80</v>
      </c>
      <c r="AH11" s="13" t="s">
        <v>99</v>
      </c>
      <c r="AI11" s="13" t="s">
        <v>100</v>
      </c>
      <c r="AJ11" s="13" t="s">
        <v>101</v>
      </c>
      <c r="AK11" s="13" t="s">
        <v>102</v>
      </c>
      <c r="AL11" s="13">
        <v>67.7</v>
      </c>
      <c r="AM11" s="13" t="s">
        <v>100</v>
      </c>
      <c r="AN11" s="13" t="s">
        <v>101</v>
      </c>
      <c r="AO11" s="13" t="s">
        <v>102</v>
      </c>
      <c r="AP11" s="13">
        <v>67.7</v>
      </c>
      <c r="AQ11" s="13">
        <v>7.43</v>
      </c>
      <c r="AR11" s="13">
        <v>34.1</v>
      </c>
      <c r="AS11" s="16">
        <f t="shared" si="2"/>
        <v>2.53363</v>
      </c>
      <c r="AT11" s="13">
        <v>39.7</v>
      </c>
      <c r="AU11" s="13">
        <v>125</v>
      </c>
      <c r="AV11" s="13">
        <v>208.9</v>
      </c>
      <c r="AW11" s="13">
        <v>59.5</v>
      </c>
      <c r="AX11" s="16">
        <f t="shared" si="3"/>
        <v>124.2955</v>
      </c>
      <c r="AY11" s="16">
        <f t="shared" si="9"/>
        <v>14.90303045</v>
      </c>
      <c r="AZ11" s="31">
        <v>2.2</v>
      </c>
      <c r="BA11" s="13">
        <v>0.17</v>
      </c>
      <c r="BB11" s="13">
        <v>1093</v>
      </c>
      <c r="BC11" s="13">
        <v>7.54</v>
      </c>
      <c r="BD11" s="13">
        <v>26.7</v>
      </c>
      <c r="BE11" s="16">
        <f t="shared" si="4"/>
        <v>2.01318</v>
      </c>
      <c r="BF11" s="13">
        <v>34.8</v>
      </c>
      <c r="BG11" s="13">
        <v>90</v>
      </c>
      <c r="BH11" s="31" t="s">
        <v>103</v>
      </c>
      <c r="BI11" s="13">
        <v>119.4</v>
      </c>
      <c r="BJ11" s="31">
        <v>7550.2</v>
      </c>
      <c r="BK11" s="31">
        <v>905.2</v>
      </c>
      <c r="BL11" s="31">
        <v>9.6</v>
      </c>
      <c r="BM11" s="13">
        <v>209046</v>
      </c>
      <c r="BN11" s="31">
        <v>98.3</v>
      </c>
      <c r="BO11" s="13" t="s">
        <v>103</v>
      </c>
      <c r="BP11" s="16">
        <f t="shared" si="5"/>
        <v>11.761</v>
      </c>
      <c r="BQ11" s="16">
        <f t="shared" si="6"/>
        <v>64.4608411783715</v>
      </c>
      <c r="BR11" s="16">
        <f t="shared" si="10"/>
        <v>50.0134882608718</v>
      </c>
      <c r="BS11" s="102">
        <f t="shared" si="11"/>
        <v>28</v>
      </c>
      <c r="BT11" s="13" t="s">
        <v>102</v>
      </c>
      <c r="BU11" s="13" t="s">
        <v>105</v>
      </c>
      <c r="BV11" s="12">
        <v>45698</v>
      </c>
      <c r="BW11" s="13" t="s">
        <v>105</v>
      </c>
      <c r="BX11" s="31">
        <v>9.6</v>
      </c>
      <c r="BY11" s="13" t="s">
        <v>103</v>
      </c>
      <c r="BZ11" s="13" t="s">
        <v>103</v>
      </c>
      <c r="CA11" s="13" t="s">
        <v>103</v>
      </c>
      <c r="CD11" s="13" t="s">
        <v>106</v>
      </c>
      <c r="CE11" s="13" t="s">
        <v>106</v>
      </c>
    </row>
    <row r="12" spans="1:91">
      <c r="A12" s="12">
        <v>45702</v>
      </c>
      <c r="B12" s="13">
        <v>25020016</v>
      </c>
      <c r="C12" s="13"/>
      <c r="D12" s="13"/>
      <c r="E12" s="13">
        <v>1</v>
      </c>
      <c r="F12" s="13" t="s">
        <v>91</v>
      </c>
      <c r="G12" s="13">
        <v>25</v>
      </c>
      <c r="H12" s="13">
        <v>25</v>
      </c>
      <c r="I12" s="13" t="s">
        <v>92</v>
      </c>
      <c r="J12" s="13" t="s">
        <v>117</v>
      </c>
      <c r="K12" s="13" t="s">
        <v>118</v>
      </c>
      <c r="L12" s="13">
        <v>600</v>
      </c>
      <c r="M12" s="13">
        <v>6</v>
      </c>
      <c r="N12" s="13" t="s">
        <v>103</v>
      </c>
      <c r="O12" s="13">
        <v>67.8</v>
      </c>
      <c r="P12" s="31">
        <v>1.7</v>
      </c>
      <c r="Q12" s="16">
        <f t="shared" si="0"/>
        <v>23.4602076124567</v>
      </c>
      <c r="R12" s="13">
        <v>67.8</v>
      </c>
      <c r="S12" s="13" t="s">
        <v>95</v>
      </c>
      <c r="T12" s="13">
        <v>85</v>
      </c>
      <c r="U12" s="13">
        <v>4596</v>
      </c>
      <c r="V12" s="16">
        <f t="shared" si="7"/>
        <v>1.00021758050479</v>
      </c>
      <c r="W12" s="87">
        <f t="shared" si="8"/>
        <v>4357</v>
      </c>
      <c r="X12" s="13">
        <v>4597</v>
      </c>
      <c r="Y12" s="13">
        <v>240</v>
      </c>
      <c r="Z12" s="13">
        <v>70</v>
      </c>
      <c r="AA12" s="13">
        <v>70.1</v>
      </c>
      <c r="AB12" s="13" t="s">
        <v>96</v>
      </c>
      <c r="AC12" s="13" t="s">
        <v>121</v>
      </c>
      <c r="AD12" s="13" t="s">
        <v>122</v>
      </c>
      <c r="AE12" s="13">
        <v>55</v>
      </c>
      <c r="AF12" s="13">
        <v>60</v>
      </c>
      <c r="AG12" s="13">
        <v>65</v>
      </c>
      <c r="AH12" s="13" t="s">
        <v>99</v>
      </c>
      <c r="AI12" s="13" t="s">
        <v>100</v>
      </c>
      <c r="AJ12" s="13" t="s">
        <v>101</v>
      </c>
      <c r="AK12" s="13" t="s">
        <v>102</v>
      </c>
      <c r="AL12" s="13" t="s">
        <v>102</v>
      </c>
      <c r="AM12" s="13" t="s">
        <v>100</v>
      </c>
      <c r="AN12" s="13" t="s">
        <v>101</v>
      </c>
      <c r="AO12" s="13" t="s">
        <v>102</v>
      </c>
      <c r="AP12" s="13" t="s">
        <v>102</v>
      </c>
      <c r="AQ12" s="13">
        <v>17.86</v>
      </c>
      <c r="AR12" s="13">
        <v>31.4</v>
      </c>
      <c r="AS12" s="16">
        <f t="shared" si="2"/>
        <v>5.60804</v>
      </c>
      <c r="AT12" s="13">
        <v>50.3</v>
      </c>
      <c r="AU12" s="13">
        <v>161</v>
      </c>
      <c r="AV12" s="13">
        <v>335.63</v>
      </c>
      <c r="AW12" s="13">
        <v>37.6</v>
      </c>
      <c r="AX12" s="16">
        <f t="shared" si="3"/>
        <v>126.19688</v>
      </c>
      <c r="AY12" s="16">
        <f t="shared" si="9"/>
        <v>8.846401288</v>
      </c>
      <c r="AZ12" s="31">
        <v>2.6</v>
      </c>
      <c r="BA12" s="13">
        <v>0.22</v>
      </c>
      <c r="BB12" s="13">
        <v>3152</v>
      </c>
      <c r="BC12" s="13">
        <v>17.73</v>
      </c>
      <c r="BD12" s="13">
        <v>20.7</v>
      </c>
      <c r="BE12" s="16">
        <f t="shared" si="4"/>
        <v>3.67011</v>
      </c>
      <c r="BF12" s="13">
        <v>43.3</v>
      </c>
      <c r="BG12" s="13">
        <v>191</v>
      </c>
      <c r="BH12" s="31" t="s">
        <v>103</v>
      </c>
      <c r="BI12" s="13">
        <v>224.6</v>
      </c>
      <c r="BJ12" s="31">
        <v>9982.5</v>
      </c>
      <c r="BK12" s="31">
        <v>699.7</v>
      </c>
      <c r="BL12" s="31">
        <v>10.3</v>
      </c>
      <c r="BM12" s="13">
        <v>315477</v>
      </c>
      <c r="BN12" s="31">
        <v>99</v>
      </c>
      <c r="BO12" s="13" t="s">
        <v>103</v>
      </c>
      <c r="BP12" s="16">
        <f t="shared" si="5"/>
        <v>4.357</v>
      </c>
      <c r="BQ12" s="16">
        <f t="shared" si="6"/>
        <v>71.5014027436837</v>
      </c>
      <c r="BR12" s="16">
        <f t="shared" si="10"/>
        <v>36.2049517689984</v>
      </c>
      <c r="BS12" s="102">
        <f t="shared" si="11"/>
        <v>-18.6335403726708</v>
      </c>
      <c r="BT12" s="13" t="s">
        <v>102</v>
      </c>
      <c r="BU12" s="13" t="s">
        <v>119</v>
      </c>
      <c r="BV12" s="12">
        <v>45705</v>
      </c>
      <c r="BW12" s="13" t="s">
        <v>119</v>
      </c>
      <c r="BX12" s="31">
        <v>10.3</v>
      </c>
      <c r="BY12" s="13" t="s">
        <v>103</v>
      </c>
      <c r="BZ12" s="13" t="s">
        <v>103</v>
      </c>
      <c r="CA12" s="13" t="s">
        <v>103</v>
      </c>
      <c r="CB12" s="13" t="s">
        <v>103</v>
      </c>
      <c r="CC12" s="13" t="s">
        <v>103</v>
      </c>
      <c r="CD12" s="13" t="s">
        <v>103</v>
      </c>
      <c r="CE12" s="13" t="s">
        <v>103</v>
      </c>
      <c r="CG12" s="13" t="s">
        <v>103</v>
      </c>
      <c r="CH12" s="13" t="s">
        <v>103</v>
      </c>
      <c r="CI12" s="13" t="s">
        <v>103</v>
      </c>
      <c r="CJ12" s="13" t="s">
        <v>103</v>
      </c>
      <c r="CK12" s="13" t="s">
        <v>103</v>
      </c>
      <c r="CL12" s="13" t="s">
        <v>103</v>
      </c>
      <c r="CM12" s="13" t="s">
        <v>103</v>
      </c>
    </row>
    <row r="13" spans="1:91">
      <c r="A13" s="12">
        <v>45702</v>
      </c>
      <c r="B13" s="13">
        <v>25020017</v>
      </c>
      <c r="C13" s="13"/>
      <c r="D13" s="13"/>
      <c r="E13" s="13">
        <v>1</v>
      </c>
      <c r="F13" s="13" t="s">
        <v>91</v>
      </c>
      <c r="G13" s="13">
        <v>31</v>
      </c>
      <c r="H13" s="13">
        <v>31</v>
      </c>
      <c r="I13" s="13" t="s">
        <v>92</v>
      </c>
      <c r="J13" s="13" t="s">
        <v>117</v>
      </c>
      <c r="K13" s="13" t="s">
        <v>118</v>
      </c>
      <c r="L13" s="13">
        <v>600</v>
      </c>
      <c r="M13" s="13">
        <v>6</v>
      </c>
      <c r="N13" s="13" t="s">
        <v>103</v>
      </c>
      <c r="O13" s="13">
        <v>67</v>
      </c>
      <c r="P13" s="31">
        <v>1.84</v>
      </c>
      <c r="Q13" s="16">
        <f t="shared" si="0"/>
        <v>19.7896975425331</v>
      </c>
      <c r="R13" s="13">
        <v>67</v>
      </c>
      <c r="S13" s="13" t="s">
        <v>95</v>
      </c>
      <c r="T13" s="13">
        <v>301</v>
      </c>
      <c r="U13" s="13">
        <v>5046</v>
      </c>
      <c r="V13" s="16">
        <f t="shared" si="7"/>
        <v>4.00019817677368</v>
      </c>
      <c r="W13" s="87">
        <f t="shared" si="8"/>
        <v>19197</v>
      </c>
      <c r="X13" s="13">
        <v>20185</v>
      </c>
      <c r="Y13" s="13">
        <v>988</v>
      </c>
      <c r="Z13" s="13">
        <v>286</v>
      </c>
      <c r="AA13" s="13">
        <v>282.3</v>
      </c>
      <c r="AB13" s="13" t="s">
        <v>96</v>
      </c>
      <c r="AC13" s="13" t="s">
        <v>108</v>
      </c>
      <c r="AD13" s="13" t="s">
        <v>122</v>
      </c>
      <c r="AE13" s="13">
        <v>55</v>
      </c>
      <c r="AF13" s="13">
        <v>62.5</v>
      </c>
      <c r="AG13" s="13">
        <v>70</v>
      </c>
      <c r="AH13" s="13" t="s">
        <v>99</v>
      </c>
      <c r="AI13" s="13" t="s">
        <v>100</v>
      </c>
      <c r="AJ13" s="13" t="s">
        <v>101</v>
      </c>
      <c r="AK13" s="13" t="s">
        <v>102</v>
      </c>
      <c r="AL13" s="13">
        <v>224.3</v>
      </c>
      <c r="AM13" s="13" t="s">
        <v>100</v>
      </c>
      <c r="AN13" s="13" t="s">
        <v>101</v>
      </c>
      <c r="AO13" s="13" t="s">
        <v>102</v>
      </c>
      <c r="AP13" s="13">
        <v>224.3</v>
      </c>
      <c r="AQ13" s="13">
        <v>1.37</v>
      </c>
      <c r="AR13" s="13">
        <v>64.9</v>
      </c>
      <c r="AS13" s="16">
        <f t="shared" si="2"/>
        <v>0.88913</v>
      </c>
      <c r="AT13" s="13">
        <v>64.9</v>
      </c>
      <c r="AU13" s="13">
        <v>51</v>
      </c>
      <c r="AV13" s="13">
        <v>72.38</v>
      </c>
      <c r="AW13" s="13">
        <v>55</v>
      </c>
      <c r="AX13" s="16">
        <f t="shared" si="3"/>
        <v>39.809</v>
      </c>
      <c r="AY13" s="16">
        <f t="shared" si="9"/>
        <v>11.2380807</v>
      </c>
      <c r="AZ13" s="31">
        <v>2</v>
      </c>
      <c r="BA13" s="13">
        <v>0.14</v>
      </c>
      <c r="BB13" s="13">
        <v>693</v>
      </c>
      <c r="BC13" s="13">
        <v>2.91</v>
      </c>
      <c r="BD13" s="13">
        <v>30.9</v>
      </c>
      <c r="BE13" s="16">
        <f t="shared" si="4"/>
        <v>0.89919</v>
      </c>
      <c r="BF13" s="13">
        <v>36.9</v>
      </c>
      <c r="BG13" s="13">
        <v>50</v>
      </c>
      <c r="BH13" s="31" t="s">
        <v>103</v>
      </c>
      <c r="BI13" s="13">
        <v>11.1</v>
      </c>
      <c r="BJ13" s="31">
        <v>572.2</v>
      </c>
      <c r="BK13" s="31">
        <v>161.5</v>
      </c>
      <c r="BL13" s="31">
        <v>2.41</v>
      </c>
      <c r="BM13" s="13">
        <v>68062</v>
      </c>
      <c r="BN13" s="31">
        <v>97.9</v>
      </c>
      <c r="BO13" s="13" t="s">
        <v>103</v>
      </c>
      <c r="BP13" s="16">
        <f t="shared" si="5"/>
        <v>19.197</v>
      </c>
      <c r="BQ13" s="16">
        <f t="shared" si="6"/>
        <v>75.7907462079989</v>
      </c>
      <c r="BR13" s="16">
        <f t="shared" si="10"/>
        <v>65.8405602276444</v>
      </c>
      <c r="BS13" s="102">
        <f t="shared" si="11"/>
        <v>1.96078431372549</v>
      </c>
      <c r="BT13" s="13" t="s">
        <v>102</v>
      </c>
      <c r="BU13" s="13" t="s">
        <v>119</v>
      </c>
      <c r="BV13" s="12">
        <v>45705</v>
      </c>
      <c r="BW13" s="13" t="s">
        <v>119</v>
      </c>
      <c r="BX13" s="31">
        <v>2.41</v>
      </c>
      <c r="BY13" s="13" t="s">
        <v>103</v>
      </c>
      <c r="BZ13" s="13" t="s">
        <v>103</v>
      </c>
      <c r="CA13" s="13" t="s">
        <v>103</v>
      </c>
      <c r="CB13" s="13" t="s">
        <v>103</v>
      </c>
      <c r="CC13" s="13" t="s">
        <v>103</v>
      </c>
      <c r="CD13" s="13" t="s">
        <v>103</v>
      </c>
      <c r="CE13" s="13" t="s">
        <v>103</v>
      </c>
      <c r="CG13" s="13" t="s">
        <v>103</v>
      </c>
      <c r="CH13" s="13" t="s">
        <v>103</v>
      </c>
      <c r="CI13" s="13" t="s">
        <v>103</v>
      </c>
      <c r="CJ13" s="13" t="s">
        <v>103</v>
      </c>
      <c r="CK13" s="13" t="s">
        <v>103</v>
      </c>
      <c r="CL13" s="13" t="s">
        <v>103</v>
      </c>
      <c r="CM13" s="13" t="s">
        <v>103</v>
      </c>
    </row>
    <row r="14" spans="1:91">
      <c r="A14" s="12">
        <v>45702</v>
      </c>
      <c r="B14" s="13">
        <v>25020018</v>
      </c>
      <c r="C14" s="13"/>
      <c r="D14" s="13"/>
      <c r="E14" s="13">
        <v>1</v>
      </c>
      <c r="F14" s="13" t="s">
        <v>111</v>
      </c>
      <c r="G14" s="13">
        <v>33</v>
      </c>
      <c r="H14" s="13">
        <v>33</v>
      </c>
      <c r="I14" s="13" t="s">
        <v>92</v>
      </c>
      <c r="J14" s="13" t="s">
        <v>117</v>
      </c>
      <c r="K14" s="13" t="s">
        <v>118</v>
      </c>
      <c r="L14" s="13">
        <v>600</v>
      </c>
      <c r="M14" s="13">
        <v>6</v>
      </c>
      <c r="N14" s="13" t="s">
        <v>103</v>
      </c>
      <c r="O14" s="13">
        <v>57.2</v>
      </c>
      <c r="P14" s="31">
        <v>1.55</v>
      </c>
      <c r="Q14" s="16">
        <f t="shared" si="0"/>
        <v>23.8085327783559</v>
      </c>
      <c r="R14" s="13">
        <v>57.2</v>
      </c>
      <c r="S14" s="13" t="s">
        <v>95</v>
      </c>
      <c r="T14" s="13">
        <v>162</v>
      </c>
      <c r="U14" s="13">
        <v>3395</v>
      </c>
      <c r="V14" s="16">
        <f t="shared" si="7"/>
        <v>3.50014727540501</v>
      </c>
      <c r="W14" s="87">
        <f t="shared" si="8"/>
        <v>11295</v>
      </c>
      <c r="X14" s="13">
        <v>11883</v>
      </c>
      <c r="Y14" s="13">
        <v>588</v>
      </c>
      <c r="Z14" s="13">
        <v>136</v>
      </c>
      <c r="AA14" s="13">
        <v>137.6</v>
      </c>
      <c r="AB14" s="13" t="s">
        <v>96</v>
      </c>
      <c r="AC14" s="13" t="s">
        <v>97</v>
      </c>
      <c r="AD14" s="13" t="s">
        <v>98</v>
      </c>
      <c r="AE14" s="13">
        <v>80</v>
      </c>
      <c r="AF14" s="13">
        <v>80</v>
      </c>
      <c r="AG14" s="13">
        <v>80</v>
      </c>
      <c r="AH14" s="13" t="s">
        <v>99</v>
      </c>
      <c r="AI14" s="13" t="s">
        <v>110</v>
      </c>
      <c r="AJ14" s="13" t="s">
        <v>101</v>
      </c>
      <c r="AK14" s="13" t="s">
        <v>102</v>
      </c>
      <c r="AL14" s="13">
        <v>107.7</v>
      </c>
      <c r="AM14" s="13" t="s">
        <v>110</v>
      </c>
      <c r="AN14" s="13" t="s">
        <v>101</v>
      </c>
      <c r="AO14" s="13" t="s">
        <v>102</v>
      </c>
      <c r="AP14" s="13">
        <v>107.7</v>
      </c>
      <c r="AQ14" s="13">
        <v>1.27</v>
      </c>
      <c r="AR14" s="13">
        <v>55.1</v>
      </c>
      <c r="AS14" s="16">
        <f t="shared" si="2"/>
        <v>0.69977</v>
      </c>
      <c r="AT14" s="13">
        <v>32.5</v>
      </c>
      <c r="AU14" s="13">
        <v>83</v>
      </c>
      <c r="AV14" s="13">
        <v>93.33</v>
      </c>
      <c r="AW14" s="13">
        <v>50.3</v>
      </c>
      <c r="AX14" s="16">
        <f t="shared" si="3"/>
        <v>46.94499</v>
      </c>
      <c r="AY14" s="16">
        <f t="shared" si="9"/>
        <v>6.459630624</v>
      </c>
      <c r="AZ14" s="31">
        <v>3.3</v>
      </c>
      <c r="BA14" s="13">
        <v>0.21</v>
      </c>
      <c r="BB14" s="13">
        <v>50.3</v>
      </c>
      <c r="BC14" s="13">
        <v>2.77</v>
      </c>
      <c r="BD14" s="13">
        <v>33.6</v>
      </c>
      <c r="BE14" s="16">
        <f t="shared" si="4"/>
        <v>0.93072</v>
      </c>
      <c r="BF14" s="13">
        <v>31.8</v>
      </c>
      <c r="BG14" s="13">
        <v>68</v>
      </c>
      <c r="BH14" s="31" t="s">
        <v>103</v>
      </c>
      <c r="BI14" s="13">
        <v>24.2</v>
      </c>
      <c r="BJ14" s="31">
        <v>1766.1</v>
      </c>
      <c r="BK14" s="31">
        <v>243</v>
      </c>
      <c r="BL14" s="31">
        <v>4.2</v>
      </c>
      <c r="BM14" s="13">
        <v>88809</v>
      </c>
      <c r="BN14" s="31">
        <v>99</v>
      </c>
      <c r="BO14" s="13" t="s">
        <v>103</v>
      </c>
      <c r="BP14" s="16">
        <f t="shared" si="5"/>
        <v>11.295</v>
      </c>
      <c r="BQ14" s="16">
        <f t="shared" si="6"/>
        <v>88.9005959632544</v>
      </c>
      <c r="BR14" s="16">
        <f t="shared" si="10"/>
        <v>81.7271077172938</v>
      </c>
      <c r="BS14" s="102">
        <f t="shared" si="11"/>
        <v>18.0722891566265</v>
      </c>
      <c r="BT14" s="13" t="s">
        <v>102</v>
      </c>
      <c r="BU14" s="13" t="s">
        <v>119</v>
      </c>
      <c r="BV14" s="12">
        <v>45705</v>
      </c>
      <c r="BW14" s="13" t="s">
        <v>119</v>
      </c>
      <c r="BX14" s="31">
        <v>4.2</v>
      </c>
      <c r="BY14" s="13" t="s">
        <v>103</v>
      </c>
      <c r="BZ14" s="13" t="s">
        <v>103</v>
      </c>
      <c r="CA14" s="13" t="s">
        <v>103</v>
      </c>
      <c r="CB14" s="13" t="s">
        <v>103</v>
      </c>
      <c r="CC14" s="13" t="s">
        <v>103</v>
      </c>
      <c r="CD14" s="13" t="s">
        <v>103</v>
      </c>
      <c r="CE14" s="13" t="s">
        <v>103</v>
      </c>
      <c r="CG14" s="13" t="s">
        <v>103</v>
      </c>
      <c r="CH14" s="13" t="s">
        <v>103</v>
      </c>
      <c r="CI14" s="13" t="s">
        <v>103</v>
      </c>
      <c r="CJ14" s="13" t="s">
        <v>103</v>
      </c>
      <c r="CK14" s="13" t="s">
        <v>103</v>
      </c>
      <c r="CL14" s="13" t="s">
        <v>103</v>
      </c>
      <c r="CM14" s="13" t="s">
        <v>103</v>
      </c>
    </row>
    <row r="15" spans="1:91">
      <c r="A15" s="12">
        <v>45707</v>
      </c>
      <c r="B15" s="13">
        <v>25020021</v>
      </c>
      <c r="C15" s="13"/>
      <c r="D15" s="13"/>
      <c r="E15" s="13">
        <v>1</v>
      </c>
      <c r="F15" s="13" t="s">
        <v>111</v>
      </c>
      <c r="G15" s="13">
        <v>41</v>
      </c>
      <c r="H15" s="13">
        <v>41</v>
      </c>
      <c r="I15" s="13" t="s">
        <v>92</v>
      </c>
      <c r="J15" s="13" t="s">
        <v>117</v>
      </c>
      <c r="K15" s="13" t="s">
        <v>118</v>
      </c>
      <c r="L15" s="13">
        <v>600</v>
      </c>
      <c r="M15" s="13">
        <v>8</v>
      </c>
      <c r="N15" s="13">
        <v>0.24</v>
      </c>
      <c r="O15" s="13">
        <v>118</v>
      </c>
      <c r="P15" s="31">
        <v>1.64</v>
      </c>
      <c r="Q15" s="16">
        <f t="shared" si="0"/>
        <v>43.8726948245092</v>
      </c>
      <c r="R15" s="13">
        <v>118</v>
      </c>
      <c r="S15" s="13" t="s">
        <v>95</v>
      </c>
      <c r="T15" s="13">
        <v>348</v>
      </c>
      <c r="U15" s="13">
        <v>5657</v>
      </c>
      <c r="V15" s="16">
        <f t="shared" si="7"/>
        <v>5.00017677214071</v>
      </c>
      <c r="W15" s="87">
        <f t="shared" si="8"/>
        <v>26917</v>
      </c>
      <c r="X15" s="13">
        <v>28286</v>
      </c>
      <c r="Y15" s="13">
        <v>1369</v>
      </c>
      <c r="Z15" s="13">
        <v>300</v>
      </c>
      <c r="AA15" s="13">
        <v>295</v>
      </c>
      <c r="AB15" s="13" t="s">
        <v>96</v>
      </c>
      <c r="AC15" s="13" t="s">
        <v>108</v>
      </c>
      <c r="AD15" s="13" t="s">
        <v>98</v>
      </c>
      <c r="AE15" s="13">
        <v>85</v>
      </c>
      <c r="AF15" s="13">
        <v>87.5</v>
      </c>
      <c r="AG15" s="13">
        <v>90</v>
      </c>
      <c r="AH15" s="13" t="s">
        <v>99</v>
      </c>
      <c r="AI15" s="13" t="s">
        <v>100</v>
      </c>
      <c r="AJ15" s="13" t="s">
        <v>101</v>
      </c>
      <c r="AK15" s="13" t="s">
        <v>102</v>
      </c>
      <c r="AL15" s="13">
        <v>59</v>
      </c>
      <c r="AM15" s="13" t="s">
        <v>100</v>
      </c>
      <c r="AN15" s="13" t="s">
        <v>101</v>
      </c>
      <c r="AO15" s="13" t="s">
        <v>102</v>
      </c>
      <c r="AP15" s="13">
        <v>59</v>
      </c>
      <c r="AQ15" s="13">
        <v>1.02</v>
      </c>
      <c r="AR15" s="13">
        <v>46.1</v>
      </c>
      <c r="AS15" s="16">
        <f t="shared" si="2"/>
        <v>0.47022</v>
      </c>
      <c r="AT15" s="13">
        <v>28.9</v>
      </c>
      <c r="AU15" s="13">
        <v>28</v>
      </c>
      <c r="AV15" s="13">
        <v>48.09</v>
      </c>
      <c r="AW15" s="13">
        <v>59</v>
      </c>
      <c r="AX15" s="16">
        <f t="shared" si="3"/>
        <v>28.3731</v>
      </c>
      <c r="AY15" s="16">
        <f t="shared" si="9"/>
        <v>8.3700645</v>
      </c>
      <c r="AZ15" s="31">
        <v>4.2</v>
      </c>
      <c r="BA15" s="13">
        <v>0.52</v>
      </c>
      <c r="BB15" s="13">
        <v>121</v>
      </c>
      <c r="BC15" s="13">
        <v>0.63</v>
      </c>
      <c r="BD15" s="13">
        <v>61.9</v>
      </c>
      <c r="BE15" s="16">
        <f t="shared" si="4"/>
        <v>0.38997</v>
      </c>
      <c r="BF15" s="13">
        <v>24.5</v>
      </c>
      <c r="BG15" s="13">
        <v>10</v>
      </c>
      <c r="BH15" s="31">
        <v>3.1</v>
      </c>
      <c r="BI15" s="13">
        <v>9.7</v>
      </c>
      <c r="BJ15" s="31">
        <v>533.8</v>
      </c>
      <c r="BK15" s="31">
        <v>157.4</v>
      </c>
      <c r="BL15" s="31">
        <v>1.3</v>
      </c>
      <c r="BM15" s="13">
        <v>43870</v>
      </c>
      <c r="BN15" s="31">
        <v>98.9</v>
      </c>
      <c r="BO15" s="13" t="s">
        <v>103</v>
      </c>
      <c r="BP15" s="16">
        <f t="shared" si="5"/>
        <v>26.917</v>
      </c>
      <c r="BQ15" s="16">
        <f t="shared" si="6"/>
        <v>60.2845938392516</v>
      </c>
      <c r="BR15" s="16">
        <f t="shared" si="10"/>
        <v>66.1303852941302</v>
      </c>
      <c r="BS15" s="102">
        <f t="shared" si="11"/>
        <v>64.2857142857143</v>
      </c>
      <c r="BT15" s="13" t="s">
        <v>102</v>
      </c>
      <c r="BU15" s="13" t="s">
        <v>119</v>
      </c>
      <c r="BV15" s="12">
        <v>45710</v>
      </c>
      <c r="BW15" s="13" t="s">
        <v>119</v>
      </c>
      <c r="BX15" s="31">
        <v>1.3</v>
      </c>
      <c r="BY15" s="13" t="s">
        <v>103</v>
      </c>
      <c r="BZ15" s="13" t="s">
        <v>103</v>
      </c>
      <c r="CA15" s="13" t="s">
        <v>103</v>
      </c>
      <c r="CB15" s="13" t="s">
        <v>103</v>
      </c>
      <c r="CC15" s="13" t="s">
        <v>103</v>
      </c>
      <c r="CD15" s="13" t="s">
        <v>103</v>
      </c>
      <c r="CE15" s="13" t="s">
        <v>103</v>
      </c>
      <c r="CG15" s="13" t="s">
        <v>103</v>
      </c>
      <c r="CH15" s="13" t="s">
        <v>103</v>
      </c>
      <c r="CI15" s="13" t="s">
        <v>103</v>
      </c>
      <c r="CJ15" s="13" t="s">
        <v>103</v>
      </c>
      <c r="CK15" s="13" t="s">
        <v>103</v>
      </c>
      <c r="CL15" s="13" t="s">
        <v>103</v>
      </c>
      <c r="CM15" s="13" t="s">
        <v>103</v>
      </c>
    </row>
    <row r="16" spans="1:91">
      <c r="A16" s="12">
        <v>45707</v>
      </c>
      <c r="B16" s="13">
        <v>25020029</v>
      </c>
      <c r="C16" s="13"/>
      <c r="D16" s="13"/>
      <c r="E16" s="13">
        <v>1</v>
      </c>
      <c r="F16" s="13" t="s">
        <v>91</v>
      </c>
      <c r="G16" s="13">
        <v>13</v>
      </c>
      <c r="H16" s="13">
        <v>13</v>
      </c>
      <c r="I16" s="13" t="s">
        <v>92</v>
      </c>
      <c r="J16" s="13" t="s">
        <v>127</v>
      </c>
      <c r="K16" s="13" t="s">
        <v>128</v>
      </c>
      <c r="L16" s="13">
        <v>6</v>
      </c>
      <c r="M16" s="13">
        <v>1</v>
      </c>
      <c r="N16" s="13" t="s">
        <v>103</v>
      </c>
      <c r="O16" s="13">
        <v>60</v>
      </c>
      <c r="P16" s="31">
        <v>1.7</v>
      </c>
      <c r="Q16" s="16">
        <f t="shared" si="0"/>
        <v>20.7612456747405</v>
      </c>
      <c r="R16" s="13">
        <v>60</v>
      </c>
      <c r="S16" s="13" t="s">
        <v>95</v>
      </c>
      <c r="T16" s="13">
        <v>271</v>
      </c>
      <c r="U16" s="13">
        <v>4338</v>
      </c>
      <c r="V16" s="16">
        <f t="shared" si="7"/>
        <v>5</v>
      </c>
      <c r="W16" s="87">
        <f t="shared" si="8"/>
        <v>20602</v>
      </c>
      <c r="X16" s="13">
        <v>21690</v>
      </c>
      <c r="Y16" s="13">
        <v>1088</v>
      </c>
      <c r="Z16" s="13">
        <v>254</v>
      </c>
      <c r="AA16" s="13">
        <v>253</v>
      </c>
      <c r="AB16" s="13" t="s">
        <v>96</v>
      </c>
      <c r="AC16" s="13" t="s">
        <v>121</v>
      </c>
      <c r="AD16" s="13" t="s">
        <v>98</v>
      </c>
      <c r="AE16" s="13">
        <v>78.1</v>
      </c>
      <c r="AF16" s="13">
        <v>85</v>
      </c>
      <c r="AG16" s="13">
        <v>90</v>
      </c>
      <c r="AH16" s="13" t="s">
        <v>99</v>
      </c>
      <c r="AI16" s="13" t="s">
        <v>100</v>
      </c>
      <c r="AJ16" s="13" t="s">
        <v>101</v>
      </c>
      <c r="AK16" s="13" t="s">
        <v>102</v>
      </c>
      <c r="AL16" s="13">
        <v>104</v>
      </c>
      <c r="AM16" s="13" t="s">
        <v>100</v>
      </c>
      <c r="AN16" s="13" t="s">
        <v>101</v>
      </c>
      <c r="AO16" s="13" t="s">
        <v>102</v>
      </c>
      <c r="AP16" s="13">
        <v>104</v>
      </c>
      <c r="AQ16" s="13">
        <v>17.42</v>
      </c>
      <c r="AR16" s="13">
        <v>13</v>
      </c>
      <c r="AS16" s="16">
        <f t="shared" si="2"/>
        <v>2.2646</v>
      </c>
      <c r="AT16" s="13">
        <v>39.1</v>
      </c>
      <c r="AU16" s="13">
        <v>168</v>
      </c>
      <c r="AV16" s="13">
        <v>151.7</v>
      </c>
      <c r="AW16" s="13">
        <v>50.8</v>
      </c>
      <c r="AX16" s="16">
        <f t="shared" si="3"/>
        <v>77.0636</v>
      </c>
      <c r="AY16" s="16">
        <f t="shared" si="9"/>
        <v>19.4970908</v>
      </c>
      <c r="AZ16" s="31">
        <v>1.7</v>
      </c>
      <c r="BA16" s="13">
        <v>0.19</v>
      </c>
      <c r="BB16" s="13">
        <v>1649</v>
      </c>
      <c r="BC16" s="13">
        <v>12.97</v>
      </c>
      <c r="BD16" s="13">
        <v>11.2</v>
      </c>
      <c r="BE16" s="16">
        <f t="shared" si="4"/>
        <v>1.45264</v>
      </c>
      <c r="BF16" s="13">
        <v>42.8</v>
      </c>
      <c r="BG16" s="13">
        <v>106</v>
      </c>
      <c r="BH16" s="31" t="s">
        <v>103</v>
      </c>
      <c r="BI16" s="13">
        <v>10.2</v>
      </c>
      <c r="BJ16" s="31">
        <v>458.8</v>
      </c>
      <c r="BK16" s="31">
        <v>116</v>
      </c>
      <c r="BL16" s="31">
        <v>1.93</v>
      </c>
      <c r="BM16" s="13">
        <v>143998</v>
      </c>
      <c r="BN16" s="31">
        <v>99.4</v>
      </c>
      <c r="BO16" s="13" t="s">
        <v>103</v>
      </c>
      <c r="BP16" s="16">
        <f t="shared" si="5"/>
        <v>20.602</v>
      </c>
      <c r="BQ16" s="16">
        <f t="shared" si="6"/>
        <v>55.201189300106</v>
      </c>
      <c r="BR16" s="16">
        <f t="shared" si="10"/>
        <v>41.7896687263488</v>
      </c>
      <c r="BS16" s="102">
        <f t="shared" si="11"/>
        <v>36.9047619047619</v>
      </c>
      <c r="BT16" s="13" t="s">
        <v>102</v>
      </c>
      <c r="BU16" s="13" t="s">
        <v>129</v>
      </c>
      <c r="BV16" s="13" t="s">
        <v>103</v>
      </c>
      <c r="BW16" s="13" t="s">
        <v>103</v>
      </c>
      <c r="BX16" s="31" t="s">
        <v>103</v>
      </c>
      <c r="BY16" s="13" t="s">
        <v>130</v>
      </c>
      <c r="BZ16" s="103"/>
      <c r="CA16" s="103"/>
      <c r="CB16" s="13" t="s">
        <v>103</v>
      </c>
      <c r="CC16" s="13" t="s">
        <v>103</v>
      </c>
      <c r="CD16" s="13" t="s">
        <v>103</v>
      </c>
      <c r="CE16" s="13" t="s">
        <v>103</v>
      </c>
      <c r="CG16" s="13" t="s">
        <v>103</v>
      </c>
      <c r="CH16" s="13" t="s">
        <v>103</v>
      </c>
      <c r="CI16" s="13" t="s">
        <v>103</v>
      </c>
      <c r="CJ16" s="13" t="s">
        <v>103</v>
      </c>
      <c r="CK16" s="13" t="s">
        <v>103</v>
      </c>
      <c r="CL16" s="13" t="s">
        <v>103</v>
      </c>
      <c r="CM16" s="13" t="s">
        <v>103</v>
      </c>
    </row>
    <row r="17" spans="1:91">
      <c r="A17" s="12">
        <v>45709</v>
      </c>
      <c r="B17" s="13">
        <v>25020032</v>
      </c>
      <c r="C17" s="13"/>
      <c r="D17" s="13"/>
      <c r="E17" s="13">
        <v>2</v>
      </c>
      <c r="F17" s="13" t="s">
        <v>91</v>
      </c>
      <c r="G17" s="13">
        <v>13</v>
      </c>
      <c r="H17" s="13">
        <v>13</v>
      </c>
      <c r="I17" s="13" t="s">
        <v>92</v>
      </c>
      <c r="J17" s="13" t="s">
        <v>127</v>
      </c>
      <c r="K17" s="13" t="s">
        <v>94</v>
      </c>
      <c r="L17" s="13">
        <v>600</v>
      </c>
      <c r="M17" s="13">
        <v>4</v>
      </c>
      <c r="N17" s="13" t="s">
        <v>103</v>
      </c>
      <c r="O17" s="13">
        <v>60</v>
      </c>
      <c r="P17" s="31">
        <v>1.7</v>
      </c>
      <c r="Q17" s="16">
        <f t="shared" si="0"/>
        <v>20.7612456747405</v>
      </c>
      <c r="R17" s="13">
        <v>60</v>
      </c>
      <c r="S17" s="13" t="s">
        <v>95</v>
      </c>
      <c r="T17" s="13">
        <v>259</v>
      </c>
      <c r="U17" s="13">
        <v>4338</v>
      </c>
      <c r="V17" s="16">
        <f t="shared" si="7"/>
        <v>5.00023052097741</v>
      </c>
      <c r="W17" s="87">
        <f t="shared" si="8"/>
        <v>20636</v>
      </c>
      <c r="X17" s="13">
        <v>21691</v>
      </c>
      <c r="Y17" s="13">
        <v>1055</v>
      </c>
      <c r="Z17" s="13">
        <v>249</v>
      </c>
      <c r="AA17" s="13">
        <v>252.6</v>
      </c>
      <c r="AB17" s="13" t="s">
        <v>96</v>
      </c>
      <c r="AC17" s="13" t="s">
        <v>108</v>
      </c>
      <c r="AD17" s="13" t="s">
        <v>98</v>
      </c>
      <c r="AE17" s="13">
        <v>85</v>
      </c>
      <c r="AF17" s="13">
        <v>87.5</v>
      </c>
      <c r="AG17" s="13">
        <v>90</v>
      </c>
      <c r="AH17" s="13" t="s">
        <v>99</v>
      </c>
      <c r="AI17" s="13" t="s">
        <v>100</v>
      </c>
      <c r="AJ17" s="13" t="s">
        <v>101</v>
      </c>
      <c r="AK17" s="13" t="s">
        <v>102</v>
      </c>
      <c r="AL17" s="13">
        <v>104</v>
      </c>
      <c r="AM17" s="13" t="s">
        <v>100</v>
      </c>
      <c r="AN17" s="13" t="s">
        <v>101</v>
      </c>
      <c r="AO17" s="13" t="s">
        <v>102</v>
      </c>
      <c r="AP17" s="13">
        <v>104</v>
      </c>
      <c r="AQ17" s="13">
        <v>75.26</v>
      </c>
      <c r="AR17" s="13">
        <v>9.9</v>
      </c>
      <c r="AS17" s="16">
        <f t="shared" si="2"/>
        <v>7.45074</v>
      </c>
      <c r="AT17" s="13">
        <v>41.4</v>
      </c>
      <c r="AU17" s="13">
        <v>134</v>
      </c>
      <c r="AV17" s="13">
        <v>401.46</v>
      </c>
      <c r="AW17" s="13">
        <v>70.1</v>
      </c>
      <c r="AX17" s="16">
        <f t="shared" si="3"/>
        <v>281.42346</v>
      </c>
      <c r="AY17" s="16">
        <f t="shared" si="9"/>
        <v>71.087565996</v>
      </c>
      <c r="AZ17" s="31">
        <v>1.8</v>
      </c>
      <c r="BA17" s="13">
        <v>0.18</v>
      </c>
      <c r="BB17" s="13">
        <v>1316</v>
      </c>
      <c r="BC17" s="13">
        <v>85.14</v>
      </c>
      <c r="BD17" s="13">
        <v>5</v>
      </c>
      <c r="BE17" s="16">
        <f t="shared" si="4"/>
        <v>4.257</v>
      </c>
      <c r="BF17" s="13">
        <v>40.6</v>
      </c>
      <c r="BG17" s="13">
        <v>69</v>
      </c>
      <c r="BH17" s="31" t="s">
        <v>103</v>
      </c>
      <c r="BI17" s="13">
        <v>67.5</v>
      </c>
      <c r="BJ17" s="31">
        <v>2725.5</v>
      </c>
      <c r="BK17" s="31">
        <v>688.4</v>
      </c>
      <c r="BL17" s="31">
        <v>11.4</v>
      </c>
      <c r="BM17" s="13">
        <v>407263</v>
      </c>
      <c r="BN17" s="31">
        <v>99.3</v>
      </c>
      <c r="BO17" s="13" t="s">
        <v>103</v>
      </c>
      <c r="BP17" s="16">
        <f t="shared" si="5"/>
        <v>20.636</v>
      </c>
      <c r="BQ17" s="16">
        <f t="shared" si="6"/>
        <v>49.4210046448852</v>
      </c>
      <c r="BR17" s="16">
        <f t="shared" si="10"/>
        <v>46.2347716120472</v>
      </c>
      <c r="BS17" s="102">
        <f t="shared" si="11"/>
        <v>48.5074626865672</v>
      </c>
      <c r="BT17" s="13" t="s">
        <v>102</v>
      </c>
      <c r="BU17" s="13" t="s">
        <v>129</v>
      </c>
      <c r="BV17" s="13" t="s">
        <v>103</v>
      </c>
      <c r="BW17" s="13" t="s">
        <v>103</v>
      </c>
      <c r="BX17" s="31" t="s">
        <v>103</v>
      </c>
      <c r="BY17" s="13" t="s">
        <v>130</v>
      </c>
      <c r="BZ17" s="103"/>
      <c r="CA17" s="103"/>
      <c r="CB17" s="13" t="s">
        <v>103</v>
      </c>
      <c r="CC17" s="13" t="s">
        <v>103</v>
      </c>
      <c r="CD17" s="13" t="s">
        <v>103</v>
      </c>
      <c r="CE17" s="13" t="s">
        <v>103</v>
      </c>
      <c r="CG17" s="13" t="s">
        <v>103</v>
      </c>
      <c r="CH17" s="13" t="s">
        <v>103</v>
      </c>
      <c r="CI17" s="13" t="s">
        <v>103</v>
      </c>
      <c r="CJ17" s="13" t="s">
        <v>103</v>
      </c>
      <c r="CK17" s="13" t="s">
        <v>103</v>
      </c>
      <c r="CL17" s="13" t="s">
        <v>103</v>
      </c>
      <c r="CM17" s="13" t="s">
        <v>103</v>
      </c>
    </row>
    <row r="18" spans="1:83">
      <c r="A18" s="12">
        <v>45713</v>
      </c>
      <c r="B18" s="13">
        <v>25020036</v>
      </c>
      <c r="C18" s="13"/>
      <c r="D18" s="13"/>
      <c r="E18" s="13">
        <v>1</v>
      </c>
      <c r="F18" s="13" t="s">
        <v>91</v>
      </c>
      <c r="G18" s="13">
        <v>35</v>
      </c>
      <c r="H18" s="13">
        <v>35</v>
      </c>
      <c r="I18" s="13" t="s">
        <v>92</v>
      </c>
      <c r="J18" s="13" t="s">
        <v>107</v>
      </c>
      <c r="K18" s="13" t="s">
        <v>94</v>
      </c>
      <c r="L18" s="13">
        <v>600</v>
      </c>
      <c r="M18" s="13">
        <v>4</v>
      </c>
      <c r="N18" s="13">
        <v>0.24</v>
      </c>
      <c r="O18" s="13">
        <v>70</v>
      </c>
      <c r="P18" s="31">
        <v>1.71</v>
      </c>
      <c r="Q18" s="16">
        <f t="shared" si="0"/>
        <v>23.9389897746315</v>
      </c>
      <c r="R18" s="13">
        <v>70</v>
      </c>
      <c r="S18" s="13" t="s">
        <v>95</v>
      </c>
      <c r="T18" s="13">
        <v>309</v>
      </c>
      <c r="U18" s="13">
        <v>4692</v>
      </c>
      <c r="V18" s="16">
        <f t="shared" si="7"/>
        <v>5.00021312872975</v>
      </c>
      <c r="W18" s="87">
        <f t="shared" si="8"/>
        <v>22320</v>
      </c>
      <c r="X18" s="13">
        <v>23461</v>
      </c>
      <c r="Y18" s="13">
        <v>1141</v>
      </c>
      <c r="Z18" s="13">
        <v>298</v>
      </c>
      <c r="AA18" s="13">
        <v>295.7</v>
      </c>
      <c r="AB18" s="13" t="s">
        <v>96</v>
      </c>
      <c r="AC18" s="13" t="s">
        <v>108</v>
      </c>
      <c r="AD18" s="13" t="s">
        <v>98</v>
      </c>
      <c r="AE18" s="13">
        <v>80</v>
      </c>
      <c r="AF18" s="13">
        <v>80</v>
      </c>
      <c r="AG18" s="13">
        <v>80</v>
      </c>
      <c r="AH18" s="13" t="s">
        <v>109</v>
      </c>
      <c r="AI18" s="13" t="s">
        <v>100</v>
      </c>
      <c r="AJ18" s="13" t="s">
        <v>101</v>
      </c>
      <c r="AK18" s="13" t="s">
        <v>102</v>
      </c>
      <c r="AL18" s="13">
        <v>225.8</v>
      </c>
      <c r="AM18" s="13" t="s">
        <v>100</v>
      </c>
      <c r="AN18" s="13" t="s">
        <v>101</v>
      </c>
      <c r="AO18" s="13" t="s">
        <v>102</v>
      </c>
      <c r="AP18" s="13">
        <v>225.8</v>
      </c>
      <c r="AQ18" s="13">
        <v>50.02</v>
      </c>
      <c r="AR18" s="13">
        <v>18.4</v>
      </c>
      <c r="AS18" s="16">
        <f t="shared" si="2"/>
        <v>9.20368</v>
      </c>
      <c r="AT18" s="13">
        <v>44.9</v>
      </c>
      <c r="AU18" s="13">
        <v>168</v>
      </c>
      <c r="AV18" s="13">
        <v>387.94</v>
      </c>
      <c r="AW18" s="13">
        <v>64.8</v>
      </c>
      <c r="AX18" s="16">
        <f t="shared" si="3"/>
        <v>251.38512</v>
      </c>
      <c r="AY18" s="16">
        <f t="shared" si="9"/>
        <v>74.334579984</v>
      </c>
      <c r="AZ18" s="31">
        <v>1.5</v>
      </c>
      <c r="BA18" s="13">
        <v>0.16</v>
      </c>
      <c r="BB18" s="13">
        <v>1496</v>
      </c>
      <c r="BC18" s="13">
        <v>40.39</v>
      </c>
      <c r="BD18" s="13">
        <v>8.4</v>
      </c>
      <c r="BE18" s="16">
        <f t="shared" si="4"/>
        <v>3.39276</v>
      </c>
      <c r="BF18" s="13">
        <v>45.6</v>
      </c>
      <c r="BG18" s="13">
        <v>57</v>
      </c>
      <c r="BH18" s="97">
        <v>4</v>
      </c>
      <c r="BI18" s="13">
        <v>35.5</v>
      </c>
      <c r="BJ18" s="31">
        <v>1202.5</v>
      </c>
      <c r="BK18" s="31">
        <v>355.5</v>
      </c>
      <c r="BL18" s="31">
        <v>5</v>
      </c>
      <c r="BM18" s="13">
        <v>381446</v>
      </c>
      <c r="BN18" s="31">
        <v>99.5</v>
      </c>
      <c r="BO18" s="13" t="s">
        <v>103</v>
      </c>
      <c r="BP18" s="16">
        <f t="shared" si="5"/>
        <v>22.32</v>
      </c>
      <c r="BQ18" s="16">
        <f t="shared" si="6"/>
        <v>44.8659700136302</v>
      </c>
      <c r="BR18" s="16">
        <f t="shared" si="10"/>
        <v>36.18555109513</v>
      </c>
      <c r="BS18" s="102">
        <f t="shared" si="11"/>
        <v>66.0714285714286</v>
      </c>
      <c r="BT18" s="13" t="s">
        <v>102</v>
      </c>
      <c r="BU18" s="13" t="s">
        <v>105</v>
      </c>
      <c r="BV18" s="12">
        <v>45715</v>
      </c>
      <c r="BW18" s="13" t="s">
        <v>105</v>
      </c>
      <c r="BX18" s="31">
        <v>5</v>
      </c>
      <c r="BY18" s="13" t="s">
        <v>103</v>
      </c>
      <c r="BZ18" s="13" t="s">
        <v>103</v>
      </c>
      <c r="CA18" s="13" t="s">
        <v>103</v>
      </c>
      <c r="CD18" s="13" t="s">
        <v>106</v>
      </c>
      <c r="CE18" s="13" t="s">
        <v>106</v>
      </c>
    </row>
    <row r="19" spans="1:79">
      <c r="A19" s="12">
        <v>45720</v>
      </c>
      <c r="B19" s="13">
        <v>25030002</v>
      </c>
      <c r="C19" s="13"/>
      <c r="D19" s="13"/>
      <c r="E19" s="13">
        <v>1</v>
      </c>
      <c r="F19" s="13" t="s">
        <v>91</v>
      </c>
      <c r="G19" s="13">
        <v>63</v>
      </c>
      <c r="H19" s="13">
        <v>63</v>
      </c>
      <c r="I19" s="13" t="s">
        <v>92</v>
      </c>
      <c r="J19" s="13" t="s">
        <v>93</v>
      </c>
      <c r="K19" s="13" t="s">
        <v>94</v>
      </c>
      <c r="L19" s="13">
        <v>600</v>
      </c>
      <c r="M19" s="13">
        <v>4</v>
      </c>
      <c r="N19" s="13">
        <v>0.24</v>
      </c>
      <c r="O19" s="13">
        <v>68</v>
      </c>
      <c r="P19" s="31">
        <v>1.56</v>
      </c>
      <c r="Q19" s="16">
        <f t="shared" si="0"/>
        <v>27.9421433267587</v>
      </c>
      <c r="R19" s="13">
        <v>68</v>
      </c>
      <c r="S19" s="13" t="s">
        <v>95</v>
      </c>
      <c r="T19" s="13">
        <v>203</v>
      </c>
      <c r="U19" s="13">
        <v>3785</v>
      </c>
      <c r="V19" s="16">
        <f t="shared" si="7"/>
        <v>4.0002642007926</v>
      </c>
      <c r="W19" s="87">
        <f t="shared" si="8"/>
        <v>14394</v>
      </c>
      <c r="X19" s="13">
        <v>15141</v>
      </c>
      <c r="Y19" s="13">
        <v>747</v>
      </c>
      <c r="Z19" s="13">
        <v>185</v>
      </c>
      <c r="AA19" s="13">
        <v>178.9</v>
      </c>
      <c r="AB19" s="13" t="s">
        <v>96</v>
      </c>
      <c r="AC19" s="13" t="s">
        <v>97</v>
      </c>
      <c r="AD19" s="13" t="s">
        <v>98</v>
      </c>
      <c r="AE19" s="13">
        <v>80</v>
      </c>
      <c r="AF19" s="13">
        <v>80</v>
      </c>
      <c r="AG19" s="13">
        <v>80</v>
      </c>
      <c r="AH19" s="13" t="s">
        <v>131</v>
      </c>
      <c r="AI19" s="13" t="s">
        <v>100</v>
      </c>
      <c r="AJ19" s="13" t="s">
        <v>101</v>
      </c>
      <c r="AK19" s="13" t="s">
        <v>102</v>
      </c>
      <c r="AL19" s="13">
        <v>185.3</v>
      </c>
      <c r="AM19" s="13" t="s">
        <v>100</v>
      </c>
      <c r="AN19" s="13" t="s">
        <v>101</v>
      </c>
      <c r="AO19" s="13" t="s">
        <v>102</v>
      </c>
      <c r="AP19" s="13">
        <v>185.3</v>
      </c>
      <c r="AQ19" s="13">
        <v>73.6</v>
      </c>
      <c r="AR19" s="13">
        <v>21.7</v>
      </c>
      <c r="AS19" s="16">
        <f t="shared" si="2"/>
        <v>15.9712</v>
      </c>
      <c r="AT19" s="13">
        <v>39.1</v>
      </c>
      <c r="AU19" s="13">
        <v>222</v>
      </c>
      <c r="AV19" s="13">
        <v>631.6</v>
      </c>
      <c r="AW19" s="13">
        <v>73.1</v>
      </c>
      <c r="AX19" s="16">
        <f t="shared" si="3"/>
        <v>461.6996</v>
      </c>
      <c r="AY19" s="16">
        <f t="shared" si="9"/>
        <v>82.59805844</v>
      </c>
      <c r="AZ19" s="31">
        <v>0.4</v>
      </c>
      <c r="BA19" s="13">
        <v>0.03</v>
      </c>
      <c r="BB19" s="13">
        <v>2500</v>
      </c>
      <c r="BC19" s="13">
        <v>62.01</v>
      </c>
      <c r="BD19" s="13">
        <v>9.7</v>
      </c>
      <c r="BE19" s="16">
        <f t="shared" si="4"/>
        <v>6.01497</v>
      </c>
      <c r="BF19" s="13">
        <v>39</v>
      </c>
      <c r="BG19" s="13">
        <v>100</v>
      </c>
      <c r="BH19" s="31">
        <v>7.6</v>
      </c>
      <c r="BI19" s="13">
        <v>86.3</v>
      </c>
      <c r="BJ19" s="31">
        <v>2576.1</v>
      </c>
      <c r="BK19" s="31">
        <v>460.8</v>
      </c>
      <c r="BL19" s="31">
        <v>6.7</v>
      </c>
      <c r="BM19" s="13">
        <v>596360</v>
      </c>
      <c r="BN19" s="31">
        <v>99.2</v>
      </c>
      <c r="BO19" s="13" t="s">
        <v>103</v>
      </c>
      <c r="BP19" s="16">
        <f t="shared" si="5"/>
        <v>14.394</v>
      </c>
      <c r="BQ19" s="16">
        <f t="shared" si="6"/>
        <v>37.0954100709208</v>
      </c>
      <c r="BR19" s="16">
        <f t="shared" si="10"/>
        <v>35.9294684614604</v>
      </c>
      <c r="BS19" s="102">
        <f t="shared" si="11"/>
        <v>54.9549549549549</v>
      </c>
      <c r="BT19" s="13" t="s">
        <v>102</v>
      </c>
      <c r="BU19" s="13" t="s">
        <v>105</v>
      </c>
      <c r="BV19" s="12">
        <v>45721</v>
      </c>
      <c r="BW19" s="13" t="s">
        <v>105</v>
      </c>
      <c r="BX19" s="31">
        <v>6.7</v>
      </c>
      <c r="BY19" s="13" t="s">
        <v>103</v>
      </c>
      <c r="BZ19" s="13" t="s">
        <v>103</v>
      </c>
      <c r="CA19" s="13" t="s">
        <v>103</v>
      </c>
    </row>
    <row r="20" spans="1:79">
      <c r="A20" s="12">
        <v>45720</v>
      </c>
      <c r="B20" s="13">
        <v>25030003</v>
      </c>
      <c r="C20" s="13"/>
      <c r="D20" s="13"/>
      <c r="E20" s="13">
        <v>1</v>
      </c>
      <c r="F20" s="13" t="s">
        <v>111</v>
      </c>
      <c r="G20" s="13">
        <v>8</v>
      </c>
      <c r="H20" s="13">
        <v>8</v>
      </c>
      <c r="I20" s="13" t="s">
        <v>92</v>
      </c>
      <c r="J20" s="13" t="s">
        <v>115</v>
      </c>
      <c r="K20" s="13" t="s">
        <v>132</v>
      </c>
      <c r="L20" s="13">
        <v>300</v>
      </c>
      <c r="M20" s="13">
        <v>7</v>
      </c>
      <c r="N20" s="13" t="s">
        <v>103</v>
      </c>
      <c r="O20" s="13">
        <v>33</v>
      </c>
      <c r="P20" s="31">
        <v>1.33</v>
      </c>
      <c r="Q20" s="16">
        <f t="shared" si="0"/>
        <v>18.6556617106676</v>
      </c>
      <c r="R20" s="13">
        <v>33</v>
      </c>
      <c r="S20" s="13" t="s">
        <v>95</v>
      </c>
      <c r="T20" s="13">
        <v>181</v>
      </c>
      <c r="U20" s="13">
        <v>2113</v>
      </c>
      <c r="V20" s="16">
        <f t="shared" si="7"/>
        <v>2.99763369616659</v>
      </c>
      <c r="W20" s="87">
        <f t="shared" si="8"/>
        <v>5881</v>
      </c>
      <c r="X20" s="13">
        <v>6334</v>
      </c>
      <c r="Y20" s="13">
        <v>453</v>
      </c>
      <c r="Z20" s="13">
        <v>136</v>
      </c>
      <c r="AA20" s="13">
        <v>124.7</v>
      </c>
      <c r="AB20" s="13" t="s">
        <v>96</v>
      </c>
      <c r="AC20" s="13" t="s">
        <v>121</v>
      </c>
      <c r="AD20" s="13" t="s">
        <v>98</v>
      </c>
      <c r="AE20" s="13">
        <v>38.6</v>
      </c>
      <c r="AF20" s="13">
        <v>38.6</v>
      </c>
      <c r="AG20" s="13">
        <v>38.6</v>
      </c>
      <c r="AH20" s="13" t="s">
        <v>99</v>
      </c>
      <c r="AI20" s="13" t="s">
        <v>100</v>
      </c>
      <c r="AJ20" s="13" t="s">
        <v>101</v>
      </c>
      <c r="AK20" s="13" t="s">
        <v>102</v>
      </c>
      <c r="AL20" s="13" t="s">
        <v>102</v>
      </c>
      <c r="AM20" s="13" t="s">
        <v>100</v>
      </c>
      <c r="AN20" s="13" t="s">
        <v>101</v>
      </c>
      <c r="AO20" s="13" t="s">
        <v>102</v>
      </c>
      <c r="AP20" s="13" t="s">
        <v>102</v>
      </c>
      <c r="AQ20" s="13">
        <v>11.8</v>
      </c>
      <c r="AR20" s="13">
        <v>22.1</v>
      </c>
      <c r="AS20" s="16">
        <f t="shared" si="2"/>
        <v>2.6078</v>
      </c>
      <c r="AT20" s="13">
        <v>34.1</v>
      </c>
      <c r="AU20" s="13">
        <v>45</v>
      </c>
      <c r="AV20" s="13">
        <v>156.24</v>
      </c>
      <c r="AW20" s="13">
        <v>32</v>
      </c>
      <c r="AX20" s="16">
        <f t="shared" si="3"/>
        <v>49.9968</v>
      </c>
      <c r="AY20" s="16">
        <f t="shared" si="9"/>
        <v>6.23460096</v>
      </c>
      <c r="AZ20" s="31">
        <v>1.5</v>
      </c>
      <c r="BA20" s="13">
        <v>0.17</v>
      </c>
      <c r="BB20" s="13">
        <v>255</v>
      </c>
      <c r="BC20" s="13">
        <v>12.26</v>
      </c>
      <c r="BD20" s="13">
        <v>16.1</v>
      </c>
      <c r="BE20" s="16">
        <f t="shared" si="4"/>
        <v>1.97386</v>
      </c>
      <c r="BF20" s="13">
        <v>28.9</v>
      </c>
      <c r="BG20" s="13">
        <v>42</v>
      </c>
      <c r="BH20" s="31" t="s">
        <v>103</v>
      </c>
      <c r="BI20" s="13">
        <v>64.6</v>
      </c>
      <c r="BJ20" s="31">
        <v>1746.9</v>
      </c>
      <c r="BK20" s="31">
        <v>217.8</v>
      </c>
      <c r="BL20" s="31">
        <v>6.6</v>
      </c>
      <c r="BM20" s="13">
        <v>154163</v>
      </c>
      <c r="BN20" s="31">
        <v>99</v>
      </c>
      <c r="BO20" s="13" t="s">
        <v>103</v>
      </c>
      <c r="BP20" s="16">
        <f t="shared" si="5"/>
        <v>5.881</v>
      </c>
      <c r="BQ20" s="16">
        <f t="shared" si="6"/>
        <v>57.3289751379659</v>
      </c>
      <c r="BR20" s="16">
        <f t="shared" si="10"/>
        <v>40.6521202614541</v>
      </c>
      <c r="BS20" s="102">
        <f t="shared" si="11"/>
        <v>6.66666666666667</v>
      </c>
      <c r="BT20" s="13" t="s">
        <v>102</v>
      </c>
      <c r="BU20" s="13" t="s">
        <v>105</v>
      </c>
      <c r="BV20" s="12">
        <v>45724</v>
      </c>
      <c r="BW20" s="13" t="s">
        <v>105</v>
      </c>
      <c r="BX20" s="31">
        <v>6.6</v>
      </c>
      <c r="BY20" s="13" t="s">
        <v>103</v>
      </c>
      <c r="BZ20" s="13" t="s">
        <v>103</v>
      </c>
      <c r="CA20" s="13" t="s">
        <v>103</v>
      </c>
    </row>
    <row r="21" spans="1:79">
      <c r="A21" s="12">
        <v>45727</v>
      </c>
      <c r="B21" s="13">
        <v>25030009</v>
      </c>
      <c r="C21" s="13"/>
      <c r="D21" s="13"/>
      <c r="E21" s="13">
        <v>1</v>
      </c>
      <c r="F21" s="13" t="s">
        <v>91</v>
      </c>
      <c r="G21" s="13">
        <v>60</v>
      </c>
      <c r="H21" s="13">
        <v>60</v>
      </c>
      <c r="I21" s="13" t="s">
        <v>92</v>
      </c>
      <c r="J21" s="13" t="s">
        <v>133</v>
      </c>
      <c r="K21" s="13" t="s">
        <v>94</v>
      </c>
      <c r="L21" s="13">
        <v>900</v>
      </c>
      <c r="M21" s="13">
        <v>4</v>
      </c>
      <c r="N21" s="13">
        <v>0.24</v>
      </c>
      <c r="O21" s="13">
        <v>87</v>
      </c>
      <c r="P21" s="31">
        <v>1.72</v>
      </c>
      <c r="Q21" s="16">
        <f t="shared" si="0"/>
        <v>29.40778799351</v>
      </c>
      <c r="R21" s="13">
        <v>87</v>
      </c>
      <c r="S21" s="13" t="s">
        <v>95</v>
      </c>
      <c r="T21" s="13">
        <v>361</v>
      </c>
      <c r="U21" s="13">
        <v>5272</v>
      </c>
      <c r="V21" s="16">
        <f t="shared" si="7"/>
        <v>4.99411987860395</v>
      </c>
      <c r="W21" s="87">
        <f t="shared" si="8"/>
        <v>24974</v>
      </c>
      <c r="X21" s="13">
        <v>26329</v>
      </c>
      <c r="Y21" s="13">
        <v>1355</v>
      </c>
      <c r="Z21" s="13">
        <v>329</v>
      </c>
      <c r="AA21" s="13">
        <v>333.8</v>
      </c>
      <c r="AB21" s="13" t="s">
        <v>96</v>
      </c>
      <c r="AC21" s="13" t="s">
        <v>121</v>
      </c>
      <c r="AD21" s="13" t="s">
        <v>98</v>
      </c>
      <c r="AE21" s="13">
        <v>80</v>
      </c>
      <c r="AF21" s="13">
        <v>82.5</v>
      </c>
      <c r="AG21" s="13">
        <v>85</v>
      </c>
      <c r="AH21" s="13" t="s">
        <v>109</v>
      </c>
      <c r="AI21" s="13" t="s">
        <v>100</v>
      </c>
      <c r="AJ21" s="13" t="s">
        <v>101</v>
      </c>
      <c r="AK21" s="13" t="s">
        <v>102</v>
      </c>
      <c r="AL21" s="13">
        <v>225.2</v>
      </c>
      <c r="AM21" s="13" t="s">
        <v>100</v>
      </c>
      <c r="AN21" s="13" t="s">
        <v>101</v>
      </c>
      <c r="AO21" s="13" t="s">
        <v>102</v>
      </c>
      <c r="AP21" s="13">
        <v>225.2</v>
      </c>
      <c r="AQ21" s="13">
        <v>62.22</v>
      </c>
      <c r="AR21" s="13">
        <v>16.5</v>
      </c>
      <c r="AS21" s="16">
        <f t="shared" si="2"/>
        <v>10.2663</v>
      </c>
      <c r="AT21" s="13">
        <v>29.3</v>
      </c>
      <c r="AU21" s="13">
        <v>133</v>
      </c>
      <c r="AV21" s="13">
        <v>343.7</v>
      </c>
      <c r="AW21" s="13">
        <v>63.5</v>
      </c>
      <c r="AX21" s="16">
        <f t="shared" si="3"/>
        <v>218.2495</v>
      </c>
      <c r="AY21" s="16">
        <f t="shared" si="9"/>
        <v>72.8516831</v>
      </c>
      <c r="AZ21" s="31">
        <v>1.5</v>
      </c>
      <c r="BA21" s="13">
        <v>0.16</v>
      </c>
      <c r="BB21" s="13">
        <v>961</v>
      </c>
      <c r="BC21" s="13">
        <v>63.45</v>
      </c>
      <c r="BD21" s="13">
        <v>8.4</v>
      </c>
      <c r="BE21" s="16">
        <f t="shared" si="4"/>
        <v>5.3298</v>
      </c>
      <c r="BF21" s="13">
        <v>30.8</v>
      </c>
      <c r="BG21" s="13">
        <v>74</v>
      </c>
      <c r="BH21" s="31">
        <v>5.8</v>
      </c>
      <c r="BI21" s="13">
        <v>25.3</v>
      </c>
      <c r="BJ21" s="31">
        <v>786</v>
      </c>
      <c r="BK21" s="31">
        <v>262.3</v>
      </c>
      <c r="BL21" s="31">
        <v>3</v>
      </c>
      <c r="BM21" s="13">
        <v>363055</v>
      </c>
      <c r="BN21" s="31">
        <v>99.5</v>
      </c>
      <c r="BO21" s="13" t="s">
        <v>103</v>
      </c>
      <c r="BP21" s="16">
        <f t="shared" si="5"/>
        <v>24.974</v>
      </c>
      <c r="BQ21" s="16">
        <f t="shared" si="6"/>
        <v>41.5135298022196</v>
      </c>
      <c r="BR21" s="16">
        <f t="shared" si="10"/>
        <v>28.4143372895154</v>
      </c>
      <c r="BS21" s="102">
        <f t="shared" si="11"/>
        <v>44.3609022556391</v>
      </c>
      <c r="BT21" s="13" t="s">
        <v>102</v>
      </c>
      <c r="BU21" s="13" t="s">
        <v>105</v>
      </c>
      <c r="BV21" s="12">
        <v>45729</v>
      </c>
      <c r="BW21" s="13" t="s">
        <v>105</v>
      </c>
      <c r="BX21" s="31">
        <v>3</v>
      </c>
      <c r="BY21" s="13" t="s">
        <v>103</v>
      </c>
      <c r="BZ21" s="13" t="s">
        <v>103</v>
      </c>
      <c r="CA21" s="13" t="s">
        <v>103</v>
      </c>
    </row>
    <row r="22" spans="1:79">
      <c r="A22" s="12">
        <v>45729</v>
      </c>
      <c r="B22" s="13">
        <v>25030012</v>
      </c>
      <c r="C22" s="13"/>
      <c r="D22" s="13"/>
      <c r="E22" s="13">
        <v>1</v>
      </c>
      <c r="F22" s="13" t="s">
        <v>91</v>
      </c>
      <c r="G22" s="13">
        <v>45</v>
      </c>
      <c r="H22" s="13">
        <v>6</v>
      </c>
      <c r="I22" s="13" t="s">
        <v>124</v>
      </c>
      <c r="J22" s="13" t="s">
        <v>125</v>
      </c>
      <c r="K22" s="13" t="s">
        <v>116</v>
      </c>
      <c r="L22" s="13">
        <v>1200</v>
      </c>
      <c r="M22" s="13">
        <v>4</v>
      </c>
      <c r="N22" s="13" t="s">
        <v>103</v>
      </c>
      <c r="O22" s="13">
        <v>131</v>
      </c>
      <c r="P22" s="31">
        <v>1.7</v>
      </c>
      <c r="Q22" s="16">
        <f t="shared" si="0"/>
        <v>45.3287197231834</v>
      </c>
      <c r="R22" s="13">
        <v>20</v>
      </c>
      <c r="S22" s="13" t="s">
        <v>95</v>
      </c>
      <c r="T22" s="13">
        <v>158</v>
      </c>
      <c r="U22" s="13">
        <v>6624</v>
      </c>
      <c r="V22" s="16">
        <f t="shared" si="7"/>
        <v>1.50015096618357</v>
      </c>
      <c r="W22" s="87">
        <f t="shared" si="8"/>
        <v>9440</v>
      </c>
      <c r="X22" s="13">
        <v>9937</v>
      </c>
      <c r="Y22" s="13">
        <v>497</v>
      </c>
      <c r="Z22" s="13">
        <v>124</v>
      </c>
      <c r="AA22" s="13">
        <v>132.79</v>
      </c>
      <c r="AB22" s="13" t="s">
        <v>96</v>
      </c>
      <c r="AC22" s="13" t="s">
        <v>97</v>
      </c>
      <c r="AD22" s="13" t="s">
        <v>122</v>
      </c>
      <c r="AE22" s="13">
        <v>55</v>
      </c>
      <c r="AF22" s="13">
        <v>66</v>
      </c>
      <c r="AG22" s="13">
        <v>77</v>
      </c>
      <c r="AH22" s="13" t="s">
        <v>134</v>
      </c>
      <c r="AI22" s="13" t="s">
        <v>123</v>
      </c>
      <c r="AJ22" s="13" t="s">
        <v>101</v>
      </c>
      <c r="AK22" s="13" t="s">
        <v>102</v>
      </c>
      <c r="AL22" s="13">
        <v>205.3</v>
      </c>
      <c r="AM22" s="13" t="s">
        <v>100</v>
      </c>
      <c r="AN22" s="13" t="s">
        <v>101</v>
      </c>
      <c r="AO22" s="13" t="s">
        <v>102</v>
      </c>
      <c r="AP22" s="13">
        <v>8.6</v>
      </c>
      <c r="AQ22" s="13">
        <v>71.4</v>
      </c>
      <c r="AR22" s="13">
        <v>17</v>
      </c>
      <c r="AS22" s="16">
        <f t="shared" si="2"/>
        <v>12.138</v>
      </c>
      <c r="AT22" s="13">
        <v>43.3</v>
      </c>
      <c r="AU22" s="13">
        <v>270</v>
      </c>
      <c r="AV22" s="13">
        <v>566.6</v>
      </c>
      <c r="AW22" s="13">
        <v>80.8</v>
      </c>
      <c r="AX22" s="16">
        <f t="shared" si="3"/>
        <v>457.8128</v>
      </c>
      <c r="AY22" s="16">
        <f t="shared" si="9"/>
        <v>60.792961712</v>
      </c>
      <c r="AZ22" s="31">
        <v>6.2</v>
      </c>
      <c r="BA22" s="13">
        <v>0.92</v>
      </c>
      <c r="BB22" s="13">
        <v>4420</v>
      </c>
      <c r="BC22" s="13">
        <v>64.81</v>
      </c>
      <c r="BD22" s="13">
        <v>13.4</v>
      </c>
      <c r="BE22" s="16">
        <f t="shared" si="4"/>
        <v>8.68454</v>
      </c>
      <c r="BF22" s="13">
        <v>44.8</v>
      </c>
      <c r="BG22" s="13">
        <v>213</v>
      </c>
      <c r="BH22" s="31">
        <v>80.5</v>
      </c>
      <c r="BI22" s="13">
        <v>108.3</v>
      </c>
      <c r="BJ22" s="31">
        <v>5289.7</v>
      </c>
      <c r="BK22" s="31">
        <v>702.4</v>
      </c>
      <c r="BL22" s="31">
        <v>35.1</v>
      </c>
      <c r="BM22" s="13">
        <v>562617</v>
      </c>
      <c r="BN22" s="31">
        <v>99.2</v>
      </c>
      <c r="BO22" s="13" t="s">
        <v>103</v>
      </c>
      <c r="BP22" s="16">
        <f t="shared" si="5"/>
        <v>9.44</v>
      </c>
      <c r="BQ22" s="16">
        <f t="shared" si="6"/>
        <v>68.7043210166361</v>
      </c>
      <c r="BR22" s="16">
        <f t="shared" si="10"/>
        <v>53.0559596700096</v>
      </c>
      <c r="BS22" s="102">
        <f t="shared" si="11"/>
        <v>21.1111111111111</v>
      </c>
      <c r="BT22" s="13" t="s">
        <v>102</v>
      </c>
      <c r="BU22" s="13" t="s">
        <v>105</v>
      </c>
      <c r="BV22" s="12">
        <v>45731</v>
      </c>
      <c r="BW22" s="13" t="s">
        <v>105</v>
      </c>
      <c r="BX22" s="31">
        <v>10</v>
      </c>
      <c r="BY22" s="13" t="s">
        <v>103</v>
      </c>
      <c r="BZ22" s="13" t="s">
        <v>103</v>
      </c>
      <c r="CA22" s="13" t="s">
        <v>103</v>
      </c>
    </row>
    <row r="23" spans="1:79">
      <c r="A23" s="12">
        <v>45729</v>
      </c>
      <c r="B23" s="13">
        <v>25030013</v>
      </c>
      <c r="C23" s="13"/>
      <c r="D23" s="13"/>
      <c r="E23" s="13">
        <v>1</v>
      </c>
      <c r="F23" s="13" t="s">
        <v>91</v>
      </c>
      <c r="G23" s="13">
        <v>26</v>
      </c>
      <c r="H23" s="13">
        <v>5</v>
      </c>
      <c r="I23" s="13" t="s">
        <v>124</v>
      </c>
      <c r="J23" s="13" t="s">
        <v>125</v>
      </c>
      <c r="K23" s="13" t="s">
        <v>135</v>
      </c>
      <c r="L23" s="13">
        <v>900</v>
      </c>
      <c r="M23" s="13">
        <v>4</v>
      </c>
      <c r="N23" s="13" t="s">
        <v>103</v>
      </c>
      <c r="O23" s="13">
        <v>89</v>
      </c>
      <c r="P23" s="31">
        <v>1.7</v>
      </c>
      <c r="Q23" s="16">
        <f t="shared" si="0"/>
        <v>30.7958477508651</v>
      </c>
      <c r="R23" s="13">
        <v>20</v>
      </c>
      <c r="S23" s="13" t="s">
        <v>95</v>
      </c>
      <c r="T23" s="13">
        <v>128</v>
      </c>
      <c r="U23" s="13">
        <v>5272</v>
      </c>
      <c r="V23" s="16">
        <f t="shared" si="7"/>
        <v>1.50018968133536</v>
      </c>
      <c r="W23" s="87">
        <f t="shared" si="8"/>
        <v>7515</v>
      </c>
      <c r="X23" s="13">
        <v>7909</v>
      </c>
      <c r="Y23" s="13">
        <v>394</v>
      </c>
      <c r="Z23" s="13">
        <v>114</v>
      </c>
      <c r="AA23" s="13">
        <v>108.7</v>
      </c>
      <c r="AB23" s="13" t="s">
        <v>96</v>
      </c>
      <c r="AC23" s="13" t="s">
        <v>121</v>
      </c>
      <c r="AD23" s="13" t="s">
        <v>122</v>
      </c>
      <c r="AE23" s="13">
        <v>50</v>
      </c>
      <c r="AF23" s="13">
        <v>65</v>
      </c>
      <c r="AG23" s="13">
        <v>80</v>
      </c>
      <c r="AH23" s="13" t="s">
        <v>99</v>
      </c>
      <c r="AI23" s="13" t="s">
        <v>100</v>
      </c>
      <c r="AJ23" s="13" t="s">
        <v>101</v>
      </c>
      <c r="AK23" s="13" t="s">
        <v>102</v>
      </c>
      <c r="AL23" s="13">
        <v>160.3</v>
      </c>
      <c r="AM23" s="13" t="s">
        <v>100</v>
      </c>
      <c r="AN23" s="13" t="s">
        <v>101</v>
      </c>
      <c r="AO23" s="13" t="s">
        <v>102</v>
      </c>
      <c r="AP23" s="13" t="s">
        <v>102</v>
      </c>
      <c r="AQ23" s="13">
        <v>72.63</v>
      </c>
      <c r="AR23" s="13">
        <v>23.6</v>
      </c>
      <c r="AS23" s="16">
        <f t="shared" si="2"/>
        <v>17.14068</v>
      </c>
      <c r="AT23" s="13">
        <v>45</v>
      </c>
      <c r="AU23" s="13">
        <v>268</v>
      </c>
      <c r="AV23" s="13">
        <v>683</v>
      </c>
      <c r="AW23" s="13">
        <v>79.1</v>
      </c>
      <c r="AX23" s="16">
        <f t="shared" si="3"/>
        <v>540.253</v>
      </c>
      <c r="AY23" s="16">
        <f t="shared" si="9"/>
        <v>58.7255011</v>
      </c>
      <c r="AZ23" s="31">
        <v>4.9</v>
      </c>
      <c r="BA23" s="13">
        <v>0.51</v>
      </c>
      <c r="BB23" s="13">
        <v>4080</v>
      </c>
      <c r="BC23" s="13">
        <v>63.23</v>
      </c>
      <c r="BD23" s="13">
        <v>18.9</v>
      </c>
      <c r="BE23" s="16">
        <f t="shared" si="4"/>
        <v>11.95047</v>
      </c>
      <c r="BF23" s="13">
        <v>45.2</v>
      </c>
      <c r="BG23" s="13">
        <v>175</v>
      </c>
      <c r="BH23" s="31">
        <v>147.1</v>
      </c>
      <c r="BI23" s="13">
        <v>171.7</v>
      </c>
      <c r="BJ23" s="31">
        <v>8174</v>
      </c>
      <c r="BK23" s="31">
        <v>888.5</v>
      </c>
      <c r="BL23" s="31">
        <v>44.4</v>
      </c>
      <c r="BM23" s="13">
        <v>643214</v>
      </c>
      <c r="BN23" s="31">
        <v>99</v>
      </c>
      <c r="BO23" s="13" t="s">
        <v>103</v>
      </c>
      <c r="BP23" s="16">
        <f t="shared" si="5"/>
        <v>7.515</v>
      </c>
      <c r="BQ23" s="16">
        <f t="shared" si="6"/>
        <v>68.8585942074306</v>
      </c>
      <c r="BR23" s="16">
        <f t="shared" si="10"/>
        <v>45.5900112332674</v>
      </c>
      <c r="BS23" s="102">
        <f t="shared" si="11"/>
        <v>34.7014925373134</v>
      </c>
      <c r="BT23" s="13" t="s">
        <v>102</v>
      </c>
      <c r="BU23" s="13" t="s">
        <v>105</v>
      </c>
      <c r="BV23" s="12">
        <v>45731</v>
      </c>
      <c r="BW23" s="13" t="s">
        <v>105</v>
      </c>
      <c r="BX23" s="31">
        <v>10</v>
      </c>
      <c r="BY23" s="13" t="s">
        <v>103</v>
      </c>
      <c r="BZ23" s="13" t="s">
        <v>103</v>
      </c>
      <c r="CA23" s="13" t="s">
        <v>103</v>
      </c>
    </row>
    <row r="24" spans="1:79">
      <c r="A24" s="12">
        <v>45730</v>
      </c>
      <c r="B24" s="13">
        <v>25030019</v>
      </c>
      <c r="C24" s="13"/>
      <c r="D24" s="13"/>
      <c r="E24" s="13">
        <v>1</v>
      </c>
      <c r="F24" s="13" t="s">
        <v>111</v>
      </c>
      <c r="G24" s="13">
        <v>32</v>
      </c>
      <c r="H24" s="13">
        <v>32</v>
      </c>
      <c r="I24" s="13" t="s">
        <v>92</v>
      </c>
      <c r="J24" s="13" t="s">
        <v>117</v>
      </c>
      <c r="K24" s="13" t="s">
        <v>94</v>
      </c>
      <c r="L24" s="13">
        <v>600</v>
      </c>
      <c r="M24" s="13">
        <v>7</v>
      </c>
      <c r="N24" s="13" t="s">
        <v>103</v>
      </c>
      <c r="O24" s="13">
        <v>61</v>
      </c>
      <c r="P24" s="31">
        <v>1.7</v>
      </c>
      <c r="Q24" s="16">
        <f t="shared" si="0"/>
        <v>21.1072664359862</v>
      </c>
      <c r="R24" s="13">
        <v>61</v>
      </c>
      <c r="S24" s="13" t="s">
        <v>95</v>
      </c>
      <c r="T24" s="13">
        <v>241</v>
      </c>
      <c r="U24" s="13">
        <v>3982</v>
      </c>
      <c r="V24" s="16">
        <f t="shared" si="7"/>
        <v>5.00025113008538</v>
      </c>
      <c r="W24" s="87">
        <f t="shared" si="8"/>
        <v>18931</v>
      </c>
      <c r="X24" s="13">
        <v>19911</v>
      </c>
      <c r="Y24" s="13">
        <v>980</v>
      </c>
      <c r="Z24" s="13">
        <v>207</v>
      </c>
      <c r="AA24" s="13">
        <v>203.3</v>
      </c>
      <c r="AB24" s="13" t="s">
        <v>96</v>
      </c>
      <c r="AC24" s="13" t="s">
        <v>97</v>
      </c>
      <c r="AD24" s="13" t="s">
        <v>98</v>
      </c>
      <c r="AE24" s="13">
        <v>80</v>
      </c>
      <c r="AF24" s="13">
        <v>87.5</v>
      </c>
      <c r="AG24" s="13">
        <v>95</v>
      </c>
      <c r="AH24" s="13" t="s">
        <v>99</v>
      </c>
      <c r="AI24" s="13" t="s">
        <v>136</v>
      </c>
      <c r="AJ24" s="13" t="s">
        <v>102</v>
      </c>
      <c r="AK24" s="13" t="s">
        <v>102</v>
      </c>
      <c r="AL24" s="13" t="s">
        <v>102</v>
      </c>
      <c r="AM24" s="13" t="s">
        <v>136</v>
      </c>
      <c r="AN24" s="13" t="s">
        <v>102</v>
      </c>
      <c r="AO24" s="13" t="s">
        <v>102</v>
      </c>
      <c r="AP24" s="13" t="s">
        <v>102</v>
      </c>
      <c r="AQ24" s="13">
        <v>1.85</v>
      </c>
      <c r="AR24" s="13">
        <v>48.7</v>
      </c>
      <c r="AS24" s="16">
        <f t="shared" si="2"/>
        <v>0.90095</v>
      </c>
      <c r="AT24" s="13">
        <v>34.8</v>
      </c>
      <c r="AU24" s="13">
        <v>117</v>
      </c>
      <c r="AV24" s="13">
        <v>133.69</v>
      </c>
      <c r="AW24" s="13">
        <v>45.7</v>
      </c>
      <c r="AX24" s="16">
        <f t="shared" si="3"/>
        <v>61.09633</v>
      </c>
      <c r="AY24" s="16">
        <f t="shared" si="9"/>
        <v>12.420883889</v>
      </c>
      <c r="AZ24" s="31">
        <v>2</v>
      </c>
      <c r="BA24" s="13">
        <v>0.15</v>
      </c>
      <c r="BB24" s="13">
        <v>1556</v>
      </c>
      <c r="BC24" s="13">
        <v>2.78</v>
      </c>
      <c r="BD24" s="13">
        <v>30.9</v>
      </c>
      <c r="BE24" s="16">
        <f t="shared" si="4"/>
        <v>0.85902</v>
      </c>
      <c r="BF24" s="13">
        <v>29.5</v>
      </c>
      <c r="BG24" s="13">
        <v>77</v>
      </c>
      <c r="BH24" s="31" t="s">
        <v>103</v>
      </c>
      <c r="BI24" s="13">
        <v>13.6</v>
      </c>
      <c r="BJ24" s="31">
        <v>1080.2</v>
      </c>
      <c r="BK24" s="31">
        <v>219.6</v>
      </c>
      <c r="BL24" s="31">
        <v>3.6</v>
      </c>
      <c r="BM24" s="13">
        <v>139369</v>
      </c>
      <c r="BN24" s="31">
        <v>98.6</v>
      </c>
      <c r="BO24" s="13" t="s">
        <v>103</v>
      </c>
      <c r="BP24" s="16">
        <f t="shared" si="5"/>
        <v>18.931</v>
      </c>
      <c r="BQ24" s="16">
        <f t="shared" si="6"/>
        <v>85.2942730100333</v>
      </c>
      <c r="BR24" s="16">
        <f t="shared" si="10"/>
        <v>72.8246249874189</v>
      </c>
      <c r="BS24" s="102">
        <f t="shared" si="11"/>
        <v>34.1880341880342</v>
      </c>
      <c r="BT24" s="13" t="s">
        <v>102</v>
      </c>
      <c r="BU24" s="13" t="s">
        <v>119</v>
      </c>
      <c r="BV24" s="12">
        <v>45733</v>
      </c>
      <c r="BW24" s="13" t="s">
        <v>119</v>
      </c>
      <c r="BX24" s="31">
        <v>3.6</v>
      </c>
      <c r="BY24" s="13" t="s">
        <v>103</v>
      </c>
      <c r="BZ24" s="13" t="s">
        <v>103</v>
      </c>
      <c r="CA24" s="13" t="s">
        <v>103</v>
      </c>
    </row>
    <row r="25" spans="1:79">
      <c r="A25" s="12">
        <v>45733</v>
      </c>
      <c r="B25" s="13">
        <v>25030020</v>
      </c>
      <c r="C25" s="13"/>
      <c r="D25" s="13"/>
      <c r="E25" s="13">
        <v>1</v>
      </c>
      <c r="F25" s="13" t="s">
        <v>91</v>
      </c>
      <c r="G25" s="13">
        <v>43</v>
      </c>
      <c r="H25" s="13">
        <v>43</v>
      </c>
      <c r="I25" s="13" t="s">
        <v>92</v>
      </c>
      <c r="J25" s="13" t="s">
        <v>137</v>
      </c>
      <c r="K25" s="13" t="s">
        <v>118</v>
      </c>
      <c r="L25" s="13">
        <v>760</v>
      </c>
      <c r="M25" s="13">
        <v>7</v>
      </c>
      <c r="N25" s="13" t="s">
        <v>103</v>
      </c>
      <c r="O25" s="13">
        <v>76</v>
      </c>
      <c r="P25" s="31">
        <v>1.76</v>
      </c>
      <c r="Q25" s="16">
        <f t="shared" si="0"/>
        <v>24.5351239669421</v>
      </c>
      <c r="R25" s="13">
        <v>76</v>
      </c>
      <c r="S25" s="13" t="s">
        <v>95</v>
      </c>
      <c r="T25" s="13">
        <v>130</v>
      </c>
      <c r="U25" s="13">
        <v>4639</v>
      </c>
      <c r="V25" s="16">
        <f t="shared" si="7"/>
        <v>2.39555938779909</v>
      </c>
      <c r="W25" s="87">
        <f t="shared" si="8"/>
        <v>10560</v>
      </c>
      <c r="X25" s="13">
        <v>11113</v>
      </c>
      <c r="Y25" s="13">
        <v>553</v>
      </c>
      <c r="Z25" s="13">
        <v>91</v>
      </c>
      <c r="AA25" s="13">
        <v>95.1</v>
      </c>
      <c r="AB25" s="13" t="s">
        <v>96</v>
      </c>
      <c r="AC25" s="13" t="s">
        <v>97</v>
      </c>
      <c r="AD25" s="13" t="s">
        <v>98</v>
      </c>
      <c r="AE25" s="13">
        <v>90</v>
      </c>
      <c r="AF25" s="13">
        <v>92.5</v>
      </c>
      <c r="AG25" s="13">
        <v>95</v>
      </c>
      <c r="AH25" s="13" t="s">
        <v>138</v>
      </c>
      <c r="AI25" s="13" t="s">
        <v>110</v>
      </c>
      <c r="AJ25" s="13" t="s">
        <v>101</v>
      </c>
      <c r="AK25" s="13" t="s">
        <v>102</v>
      </c>
      <c r="AL25" s="13" t="s">
        <v>113</v>
      </c>
      <c r="AM25" s="13" t="s">
        <v>110</v>
      </c>
      <c r="AN25" s="13" t="s">
        <v>101</v>
      </c>
      <c r="AO25" s="13" t="s">
        <v>102</v>
      </c>
      <c r="AP25" s="13" t="s">
        <v>113</v>
      </c>
      <c r="AQ25" s="13">
        <v>4.46</v>
      </c>
      <c r="AR25" s="13">
        <v>26.7</v>
      </c>
      <c r="AS25" s="16">
        <f t="shared" si="2"/>
        <v>1.19082</v>
      </c>
      <c r="AT25" s="13">
        <v>27</v>
      </c>
      <c r="AU25" s="13">
        <v>31</v>
      </c>
      <c r="AV25" s="13">
        <v>250.46</v>
      </c>
      <c r="AW25" s="13">
        <v>28.5</v>
      </c>
      <c r="AX25" s="16">
        <f t="shared" si="3"/>
        <v>71.3811</v>
      </c>
      <c r="AY25" s="16">
        <f t="shared" si="9"/>
        <v>6.78834261</v>
      </c>
      <c r="AZ25" s="31">
        <v>1.5</v>
      </c>
      <c r="BA25" s="13">
        <v>0.15</v>
      </c>
      <c r="BB25" s="13">
        <v>310</v>
      </c>
      <c r="BC25" s="13">
        <v>6.31</v>
      </c>
      <c r="BD25" s="13">
        <v>26.4</v>
      </c>
      <c r="BE25" s="16">
        <f t="shared" si="4"/>
        <v>1.66584</v>
      </c>
      <c r="BF25" s="13">
        <v>25.9</v>
      </c>
      <c r="BG25" s="13">
        <v>27</v>
      </c>
      <c r="BH25" s="31" t="s">
        <v>103</v>
      </c>
      <c r="BI25" s="13">
        <v>149.8</v>
      </c>
      <c r="BJ25" s="31">
        <v>11545.1</v>
      </c>
      <c r="BK25" s="31">
        <v>1097.9</v>
      </c>
      <c r="BL25" s="31">
        <v>14.4</v>
      </c>
      <c r="BM25" s="13">
        <v>244353</v>
      </c>
      <c r="BN25" s="31">
        <v>98.5</v>
      </c>
      <c r="BO25" s="13" t="s">
        <v>103</v>
      </c>
      <c r="BP25" s="16">
        <f t="shared" si="5"/>
        <v>10.56</v>
      </c>
      <c r="BQ25" s="16">
        <f t="shared" si="6"/>
        <v>69.4044078973985</v>
      </c>
      <c r="BR25" s="16">
        <f t="shared" si="10"/>
        <v>53.982589680373</v>
      </c>
      <c r="BS25" s="102">
        <f t="shared" si="11"/>
        <v>12.9032258064516</v>
      </c>
      <c r="BT25" s="13" t="s">
        <v>102</v>
      </c>
      <c r="BU25" s="13" t="s">
        <v>119</v>
      </c>
      <c r="BV25" s="12">
        <v>45736</v>
      </c>
      <c r="BW25" s="13" t="s">
        <v>119</v>
      </c>
      <c r="BX25" s="31">
        <v>14.4</v>
      </c>
      <c r="BY25" s="13" t="s">
        <v>103</v>
      </c>
      <c r="BZ25" s="13" t="s">
        <v>103</v>
      </c>
      <c r="CA25" s="13" t="s">
        <v>103</v>
      </c>
    </row>
    <row r="26" spans="1:79">
      <c r="A26" s="12">
        <v>45734</v>
      </c>
      <c r="B26" s="13">
        <v>25030021</v>
      </c>
      <c r="C26" s="13"/>
      <c r="D26" s="13"/>
      <c r="E26" s="13">
        <v>1</v>
      </c>
      <c r="F26" s="13" t="s">
        <v>91</v>
      </c>
      <c r="G26" s="13">
        <v>55</v>
      </c>
      <c r="H26" s="13">
        <v>24</v>
      </c>
      <c r="I26" s="13" t="s">
        <v>124</v>
      </c>
      <c r="J26" s="13" t="s">
        <v>112</v>
      </c>
      <c r="K26" s="13" t="s">
        <v>94</v>
      </c>
      <c r="L26" s="13">
        <v>900</v>
      </c>
      <c r="M26" s="13">
        <v>4</v>
      </c>
      <c r="N26" s="13" t="s">
        <v>103</v>
      </c>
      <c r="O26" s="13">
        <v>95</v>
      </c>
      <c r="P26" s="31">
        <v>1.72</v>
      </c>
      <c r="Q26" s="16">
        <f t="shared" si="0"/>
        <v>32.1119524067063</v>
      </c>
      <c r="R26" s="13">
        <v>62</v>
      </c>
      <c r="S26" s="13" t="s">
        <v>95</v>
      </c>
      <c r="T26" s="13">
        <v>206</v>
      </c>
      <c r="U26" s="13">
        <v>5529</v>
      </c>
      <c r="V26" s="16">
        <f t="shared" si="7"/>
        <v>3.00018086453246</v>
      </c>
      <c r="W26" s="87">
        <f t="shared" si="8"/>
        <v>15776</v>
      </c>
      <c r="X26" s="13">
        <v>16588</v>
      </c>
      <c r="Y26" s="13">
        <v>812</v>
      </c>
      <c r="Z26" s="13">
        <v>179</v>
      </c>
      <c r="AA26" s="13">
        <v>189.5</v>
      </c>
      <c r="AB26" s="13" t="s">
        <v>96</v>
      </c>
      <c r="AC26" s="13" t="s">
        <v>97</v>
      </c>
      <c r="AD26" s="13" t="s">
        <v>98</v>
      </c>
      <c r="AE26" s="13">
        <v>80</v>
      </c>
      <c r="AF26" s="13">
        <v>85</v>
      </c>
      <c r="AG26" s="13">
        <v>90</v>
      </c>
      <c r="AH26" s="13" t="s">
        <v>126</v>
      </c>
      <c r="AI26" s="13" t="s">
        <v>136</v>
      </c>
      <c r="AJ26" s="13" t="s">
        <v>102</v>
      </c>
      <c r="AK26" s="13" t="s">
        <v>102</v>
      </c>
      <c r="AL26" s="13" t="s">
        <v>102</v>
      </c>
      <c r="AM26" s="13" t="s">
        <v>110</v>
      </c>
      <c r="AN26" s="13" t="s">
        <v>102</v>
      </c>
      <c r="AO26" s="13" t="s">
        <v>102</v>
      </c>
      <c r="AP26" s="13">
        <v>69.3</v>
      </c>
      <c r="AQ26" s="13">
        <v>66.48</v>
      </c>
      <c r="AR26" s="13">
        <v>15.5</v>
      </c>
      <c r="AS26" s="16">
        <f t="shared" si="2"/>
        <v>10.3044</v>
      </c>
      <c r="AT26" s="13">
        <v>46.3</v>
      </c>
      <c r="AU26" s="13">
        <v>274</v>
      </c>
      <c r="AV26" s="13">
        <v>422.34</v>
      </c>
      <c r="AW26" s="13">
        <v>69.6</v>
      </c>
      <c r="AX26" s="16">
        <f t="shared" si="3"/>
        <v>293.94864</v>
      </c>
      <c r="AY26" s="16">
        <f t="shared" si="9"/>
        <v>55.70326728</v>
      </c>
      <c r="AZ26" s="31">
        <v>2.8</v>
      </c>
      <c r="BA26" s="13">
        <v>0.35</v>
      </c>
      <c r="BB26" s="13">
        <v>5160</v>
      </c>
      <c r="BC26" s="13">
        <v>46.84</v>
      </c>
      <c r="BD26" s="13">
        <v>14.9</v>
      </c>
      <c r="BE26" s="16">
        <f t="shared" si="4"/>
        <v>6.97916</v>
      </c>
      <c r="BF26" s="13">
        <v>43.8</v>
      </c>
      <c r="BG26" s="13">
        <v>160</v>
      </c>
      <c r="BH26" s="31" t="s">
        <v>103</v>
      </c>
      <c r="BI26" s="13">
        <v>115.7</v>
      </c>
      <c r="BJ26" s="31">
        <v>4546.1</v>
      </c>
      <c r="BK26" s="31">
        <v>861.4</v>
      </c>
      <c r="BL26" s="31">
        <v>13.8</v>
      </c>
      <c r="BM26" s="13">
        <v>464095</v>
      </c>
      <c r="BN26" s="31">
        <v>99.3</v>
      </c>
      <c r="BO26" s="13" t="s">
        <v>103</v>
      </c>
      <c r="BP26" s="16">
        <f t="shared" si="5"/>
        <v>15.776</v>
      </c>
      <c r="BQ26" s="16">
        <f t="shared" si="6"/>
        <v>47.1926767309314</v>
      </c>
      <c r="BR26" s="16">
        <f t="shared" si="10"/>
        <v>34.2658147747279</v>
      </c>
      <c r="BS26" s="102">
        <f t="shared" si="11"/>
        <v>41.6058394160584</v>
      </c>
      <c r="BT26" s="13" t="s">
        <v>102</v>
      </c>
      <c r="BU26" s="13" t="s">
        <v>139</v>
      </c>
      <c r="BV26" s="12">
        <v>45735</v>
      </c>
      <c r="BW26" s="13" t="s">
        <v>139</v>
      </c>
      <c r="BX26" s="31">
        <v>10</v>
      </c>
      <c r="BY26" s="13" t="s">
        <v>103</v>
      </c>
      <c r="BZ26" s="103"/>
      <c r="CA26" s="103"/>
    </row>
    <row r="27" spans="1:79">
      <c r="A27" s="12">
        <v>45736</v>
      </c>
      <c r="B27" s="13">
        <v>25030030</v>
      </c>
      <c r="C27" s="13"/>
      <c r="D27" s="13"/>
      <c r="E27" s="13">
        <v>1</v>
      </c>
      <c r="F27" s="13" t="s">
        <v>111</v>
      </c>
      <c r="G27" s="13">
        <v>7</v>
      </c>
      <c r="H27" s="13">
        <v>7</v>
      </c>
      <c r="I27" s="13" t="s">
        <v>92</v>
      </c>
      <c r="J27" s="13" t="s">
        <v>115</v>
      </c>
      <c r="K27" s="13" t="s">
        <v>116</v>
      </c>
      <c r="L27" s="13">
        <v>300</v>
      </c>
      <c r="M27" s="13">
        <v>6</v>
      </c>
      <c r="N27" s="13" t="s">
        <v>103</v>
      </c>
      <c r="O27" s="13">
        <v>20</v>
      </c>
      <c r="P27" s="31">
        <v>1.16</v>
      </c>
      <c r="Q27" s="16">
        <f t="shared" si="0"/>
        <v>14.8632580261593</v>
      </c>
      <c r="R27" s="13">
        <v>20</v>
      </c>
      <c r="S27" s="13" t="s">
        <v>140</v>
      </c>
      <c r="T27" s="13">
        <v>176</v>
      </c>
      <c r="U27" s="13">
        <v>1397</v>
      </c>
      <c r="V27" s="16">
        <f t="shared" si="7"/>
        <v>4.1009305654975</v>
      </c>
      <c r="W27" s="87">
        <f t="shared" si="8"/>
        <v>5434</v>
      </c>
      <c r="X27" s="13">
        <v>5729</v>
      </c>
      <c r="Y27" s="13">
        <v>295</v>
      </c>
      <c r="Z27" s="13">
        <v>144</v>
      </c>
      <c r="AA27" s="13">
        <v>149</v>
      </c>
      <c r="AB27" s="13" t="s">
        <v>96</v>
      </c>
      <c r="AC27" s="13" t="s">
        <v>97</v>
      </c>
      <c r="AD27" s="13" t="s">
        <v>98</v>
      </c>
      <c r="AE27" s="13">
        <v>26.1</v>
      </c>
      <c r="AF27" s="13">
        <v>32</v>
      </c>
      <c r="AG27" s="13">
        <v>37.6</v>
      </c>
      <c r="AH27" s="13" t="s">
        <v>99</v>
      </c>
      <c r="AI27" s="13" t="s">
        <v>123</v>
      </c>
      <c r="AJ27" s="13" t="s">
        <v>101</v>
      </c>
      <c r="AK27" s="13" t="s">
        <v>102</v>
      </c>
      <c r="AL27" s="13" t="s">
        <v>102</v>
      </c>
      <c r="AM27" s="13" t="s">
        <v>123</v>
      </c>
      <c r="AN27" s="13" t="s">
        <v>101</v>
      </c>
      <c r="AO27" s="13" t="s">
        <v>102</v>
      </c>
      <c r="AP27" s="13" t="s">
        <v>102</v>
      </c>
      <c r="AQ27" s="13">
        <v>12.11</v>
      </c>
      <c r="AR27" s="13">
        <v>30.3</v>
      </c>
      <c r="AS27" s="16">
        <f t="shared" si="2"/>
        <v>3.66933</v>
      </c>
      <c r="AT27" s="13">
        <v>35.2</v>
      </c>
      <c r="AU27" s="13">
        <v>236</v>
      </c>
      <c r="AV27" s="13">
        <v>123.79</v>
      </c>
      <c r="AW27" s="13">
        <v>55.7</v>
      </c>
      <c r="AX27" s="16">
        <f t="shared" si="3"/>
        <v>68.95103</v>
      </c>
      <c r="AY27" s="16">
        <f t="shared" si="9"/>
        <v>10.27370347</v>
      </c>
      <c r="AZ27" s="31">
        <v>1.2</v>
      </c>
      <c r="BA27" s="13">
        <v>0.09</v>
      </c>
      <c r="BB27" s="13">
        <v>1128</v>
      </c>
      <c r="BC27" s="13">
        <v>10.79</v>
      </c>
      <c r="BD27" s="13">
        <v>20</v>
      </c>
      <c r="BE27" s="16">
        <f t="shared" si="4"/>
        <v>2.158</v>
      </c>
      <c r="BF27" s="13">
        <v>37</v>
      </c>
      <c r="BG27" s="13">
        <v>163</v>
      </c>
      <c r="BH27" s="31" t="s">
        <v>103</v>
      </c>
      <c r="BI27" s="13">
        <v>33.8</v>
      </c>
      <c r="BJ27" s="31">
        <v>834.4</v>
      </c>
      <c r="BK27" s="31">
        <v>124.3</v>
      </c>
      <c r="BL27" s="31">
        <v>6.2</v>
      </c>
      <c r="BM27" s="13">
        <v>133810</v>
      </c>
      <c r="BN27" s="31">
        <v>99.1</v>
      </c>
      <c r="BO27" s="13" t="s">
        <v>103</v>
      </c>
      <c r="BP27" s="16">
        <f t="shared" si="5"/>
        <v>5.434</v>
      </c>
      <c r="BQ27" s="16">
        <f t="shared" si="6"/>
        <v>67.6760175358743</v>
      </c>
      <c r="BR27" s="16">
        <f t="shared" si="10"/>
        <v>51.5253108804965</v>
      </c>
      <c r="BS27" s="102">
        <f t="shared" si="11"/>
        <v>30.9322033898305</v>
      </c>
      <c r="BT27" s="13" t="s">
        <v>102</v>
      </c>
      <c r="BU27" s="13" t="s">
        <v>105</v>
      </c>
      <c r="BV27" s="12">
        <v>45740</v>
      </c>
      <c r="BW27" s="13" t="s">
        <v>105</v>
      </c>
      <c r="BX27" s="31">
        <v>6.2</v>
      </c>
      <c r="BY27" s="13" t="s">
        <v>103</v>
      </c>
      <c r="BZ27" s="13" t="s">
        <v>103</v>
      </c>
      <c r="CA27" s="13" t="s">
        <v>103</v>
      </c>
    </row>
    <row r="28" spans="1:79">
      <c r="A28" s="12">
        <v>45737</v>
      </c>
      <c r="B28" s="13">
        <v>25030031</v>
      </c>
      <c r="C28" s="13"/>
      <c r="D28" s="13"/>
      <c r="E28" s="13">
        <v>1</v>
      </c>
      <c r="F28" s="13" t="s">
        <v>91</v>
      </c>
      <c r="G28" s="13">
        <v>31</v>
      </c>
      <c r="H28" s="13">
        <v>44</v>
      </c>
      <c r="I28" s="13" t="s">
        <v>120</v>
      </c>
      <c r="J28" s="13" t="s">
        <v>112</v>
      </c>
      <c r="K28" s="13" t="s">
        <v>94</v>
      </c>
      <c r="L28" s="13">
        <v>900</v>
      </c>
      <c r="M28" s="13">
        <v>4</v>
      </c>
      <c r="N28" s="13" t="s">
        <v>103</v>
      </c>
      <c r="O28" s="13">
        <v>81.5</v>
      </c>
      <c r="P28" s="31">
        <v>1.68</v>
      </c>
      <c r="Q28" s="16">
        <f t="shared" si="0"/>
        <v>28.8761337868481</v>
      </c>
      <c r="R28" s="13">
        <v>80.5</v>
      </c>
      <c r="S28" s="13" t="s">
        <v>95</v>
      </c>
      <c r="T28" s="13">
        <v>211</v>
      </c>
      <c r="U28" s="13">
        <v>4983</v>
      </c>
      <c r="V28" s="16">
        <f t="shared" si="7"/>
        <v>3.00020068231989</v>
      </c>
      <c r="W28" s="87">
        <f t="shared" si="8"/>
        <v>14212</v>
      </c>
      <c r="X28" s="13">
        <v>14950</v>
      </c>
      <c r="Y28" s="13">
        <v>738</v>
      </c>
      <c r="Z28" s="13">
        <v>207</v>
      </c>
      <c r="AA28" s="13">
        <v>200.9</v>
      </c>
      <c r="AB28" s="13" t="s">
        <v>96</v>
      </c>
      <c r="AC28" s="13" t="s">
        <v>97</v>
      </c>
      <c r="AD28" s="13" t="s">
        <v>122</v>
      </c>
      <c r="AE28" s="13">
        <v>55</v>
      </c>
      <c r="AF28" s="13">
        <v>67.5</v>
      </c>
      <c r="AG28" s="13">
        <v>80</v>
      </c>
      <c r="AH28" s="13" t="s">
        <v>99</v>
      </c>
      <c r="AI28" s="13" t="s">
        <v>100</v>
      </c>
      <c r="AJ28" s="13" t="s">
        <v>101</v>
      </c>
      <c r="AK28" s="13" t="s">
        <v>102</v>
      </c>
      <c r="AL28" s="13" t="s">
        <v>102</v>
      </c>
      <c r="AM28" s="13" t="s">
        <v>100</v>
      </c>
      <c r="AN28" s="13" t="s">
        <v>101</v>
      </c>
      <c r="AO28" s="13" t="s">
        <v>102</v>
      </c>
      <c r="AP28" s="13">
        <v>103.9</v>
      </c>
      <c r="AQ28" s="13">
        <v>66.87</v>
      </c>
      <c r="AR28" s="13">
        <v>18.7</v>
      </c>
      <c r="AS28" s="16">
        <f t="shared" si="2"/>
        <v>12.50469</v>
      </c>
      <c r="AT28" s="13">
        <v>42.2</v>
      </c>
      <c r="AU28" s="13">
        <v>229</v>
      </c>
      <c r="AV28" s="13">
        <v>499.4</v>
      </c>
      <c r="AW28" s="13">
        <v>77.6</v>
      </c>
      <c r="AX28" s="16">
        <f t="shared" si="3"/>
        <v>387.5344</v>
      </c>
      <c r="AY28" s="16">
        <f t="shared" si="9"/>
        <v>77.85566096</v>
      </c>
      <c r="AZ28" s="31">
        <v>4.6</v>
      </c>
      <c r="BA28" s="13">
        <v>0.57</v>
      </c>
      <c r="BB28" s="13">
        <v>3336</v>
      </c>
      <c r="BC28" s="13">
        <v>53.52</v>
      </c>
      <c r="BD28" s="13">
        <v>13.6</v>
      </c>
      <c r="BE28" s="16">
        <f t="shared" si="4"/>
        <v>7.27872</v>
      </c>
      <c r="BF28" s="13">
        <v>43.9</v>
      </c>
      <c r="BG28" s="13">
        <v>133</v>
      </c>
      <c r="BH28" s="31">
        <v>87.8</v>
      </c>
      <c r="BI28" s="13">
        <v>176.5</v>
      </c>
      <c r="BJ28" s="31">
        <v>5656.2</v>
      </c>
      <c r="BK28" s="31">
        <v>1136.3</v>
      </c>
      <c r="BL28" s="31">
        <v>14.1</v>
      </c>
      <c r="BM28" s="13">
        <v>515556</v>
      </c>
      <c r="BN28" s="31">
        <v>98.5</v>
      </c>
      <c r="BO28" s="13" t="s">
        <v>103</v>
      </c>
      <c r="BP28" s="16">
        <f t="shared" si="5"/>
        <v>14.212</v>
      </c>
      <c r="BQ28" s="16">
        <f t="shared" si="6"/>
        <v>45.2994676325876</v>
      </c>
      <c r="BR28" s="16">
        <f t="shared" si="10"/>
        <v>43.8088716420101</v>
      </c>
      <c r="BS28" s="102">
        <f t="shared" si="11"/>
        <v>41.9213973799127</v>
      </c>
      <c r="BT28" s="13" t="s">
        <v>102</v>
      </c>
      <c r="BU28" s="13" t="s">
        <v>105</v>
      </c>
      <c r="BV28" s="12">
        <v>45738</v>
      </c>
      <c r="BW28" s="13" t="s">
        <v>105</v>
      </c>
      <c r="BX28" s="31">
        <v>8</v>
      </c>
      <c r="BY28" s="13" t="s">
        <v>103</v>
      </c>
      <c r="BZ28" s="103"/>
      <c r="CA28" s="103"/>
    </row>
    <row r="29" spans="1:79">
      <c r="A29" s="12">
        <v>45737</v>
      </c>
      <c r="B29" s="13">
        <v>25030032</v>
      </c>
      <c r="C29" s="13"/>
      <c r="D29" s="13"/>
      <c r="E29" s="13">
        <v>1</v>
      </c>
      <c r="F29" s="13" t="s">
        <v>91</v>
      </c>
      <c r="G29" s="13">
        <v>11</v>
      </c>
      <c r="H29" s="13">
        <v>11</v>
      </c>
      <c r="I29" s="13" t="s">
        <v>92</v>
      </c>
      <c r="J29" s="13" t="s">
        <v>115</v>
      </c>
      <c r="K29" s="13" t="s">
        <v>116</v>
      </c>
      <c r="L29" s="13">
        <v>300</v>
      </c>
      <c r="M29" s="13">
        <v>6</v>
      </c>
      <c r="N29" s="13" t="s">
        <v>103</v>
      </c>
      <c r="O29" s="13">
        <v>35.5</v>
      </c>
      <c r="P29" s="31">
        <v>1.44</v>
      </c>
      <c r="Q29" s="16">
        <f t="shared" si="0"/>
        <v>17.1199845679012</v>
      </c>
      <c r="R29" s="13">
        <v>35.5</v>
      </c>
      <c r="S29" s="13" t="s">
        <v>95</v>
      </c>
      <c r="T29" s="13">
        <v>298</v>
      </c>
      <c r="U29" s="13">
        <v>2858</v>
      </c>
      <c r="V29" s="16">
        <f t="shared" si="7"/>
        <v>5</v>
      </c>
      <c r="W29" s="87">
        <f t="shared" si="8"/>
        <v>13588</v>
      </c>
      <c r="X29" s="13">
        <v>14290</v>
      </c>
      <c r="Y29" s="13">
        <v>702</v>
      </c>
      <c r="Z29" s="13">
        <v>264</v>
      </c>
      <c r="AA29" s="13">
        <v>254.4</v>
      </c>
      <c r="AB29" s="13" t="s">
        <v>96</v>
      </c>
      <c r="AC29" s="13" t="s">
        <v>121</v>
      </c>
      <c r="AD29" s="13" t="s">
        <v>98</v>
      </c>
      <c r="AE29" s="13">
        <v>50</v>
      </c>
      <c r="AF29" s="13">
        <v>52.5</v>
      </c>
      <c r="AG29" s="13">
        <v>55</v>
      </c>
      <c r="AH29" s="13" t="s">
        <v>99</v>
      </c>
      <c r="AI29" s="13" t="s">
        <v>110</v>
      </c>
      <c r="AJ29" s="13" t="s">
        <v>101</v>
      </c>
      <c r="AK29" s="13" t="s">
        <v>102</v>
      </c>
      <c r="AL29" s="13" t="s">
        <v>102</v>
      </c>
      <c r="AM29" s="13" t="s">
        <v>110</v>
      </c>
      <c r="AN29" s="13" t="s">
        <v>101</v>
      </c>
      <c r="AO29" s="13" t="s">
        <v>102</v>
      </c>
      <c r="AP29" s="13" t="s">
        <v>102</v>
      </c>
      <c r="AQ29" s="13">
        <v>2.19</v>
      </c>
      <c r="AR29" s="13">
        <v>32</v>
      </c>
      <c r="AS29" s="16">
        <f t="shared" si="2"/>
        <v>0.7008</v>
      </c>
      <c r="AT29" s="13">
        <v>32.3</v>
      </c>
      <c r="AU29" s="13">
        <v>46</v>
      </c>
      <c r="AV29" s="13">
        <v>76.49</v>
      </c>
      <c r="AW29" s="13">
        <v>35.6</v>
      </c>
      <c r="AX29" s="16">
        <f t="shared" si="3"/>
        <v>27.23044</v>
      </c>
      <c r="AY29" s="16">
        <f t="shared" si="9"/>
        <v>6.927423936</v>
      </c>
      <c r="AZ29" s="31">
        <v>1.3</v>
      </c>
      <c r="BA29" s="13">
        <v>0.15</v>
      </c>
      <c r="BB29" s="13">
        <v>287</v>
      </c>
      <c r="BC29" s="13">
        <v>2.78</v>
      </c>
      <c r="BD29" s="13">
        <v>30.2</v>
      </c>
      <c r="BE29" s="16">
        <f t="shared" si="4"/>
        <v>0.83956</v>
      </c>
      <c r="BF29" s="13">
        <v>32.6</v>
      </c>
      <c r="BG29" s="13">
        <v>35</v>
      </c>
      <c r="BH29" s="31" t="s">
        <v>103</v>
      </c>
      <c r="BI29" s="13">
        <v>10.5</v>
      </c>
      <c r="BJ29" s="31">
        <v>748.4</v>
      </c>
      <c r="BK29" s="31">
        <v>190.3</v>
      </c>
      <c r="BL29" s="31">
        <v>5.3</v>
      </c>
      <c r="BM29" s="13">
        <v>71820</v>
      </c>
      <c r="BN29" s="31">
        <v>99.3</v>
      </c>
      <c r="BO29" s="13" t="s">
        <v>103</v>
      </c>
      <c r="BP29" s="16">
        <f t="shared" si="5"/>
        <v>13.588</v>
      </c>
      <c r="BQ29" s="16">
        <f t="shared" si="6"/>
        <v>133.380994434866</v>
      </c>
      <c r="BR29" s="16">
        <f t="shared" si="10"/>
        <v>72.7481803041362</v>
      </c>
      <c r="BS29" s="102">
        <f t="shared" si="11"/>
        <v>23.9130434782609</v>
      </c>
      <c r="BT29" s="13" t="s">
        <v>102</v>
      </c>
      <c r="BU29" s="13" t="s">
        <v>105</v>
      </c>
      <c r="BV29" s="12">
        <v>45741</v>
      </c>
      <c r="BW29" s="13" t="s">
        <v>105</v>
      </c>
      <c r="BX29" s="31">
        <v>5.3</v>
      </c>
      <c r="BY29" s="13" t="s">
        <v>103</v>
      </c>
      <c r="BZ29" s="13" t="s">
        <v>103</v>
      </c>
      <c r="CA29" s="13" t="s">
        <v>103</v>
      </c>
    </row>
    <row r="30" spans="1:79">
      <c r="A30" s="12">
        <v>45737</v>
      </c>
      <c r="B30" s="13">
        <v>25030033</v>
      </c>
      <c r="C30" s="13"/>
      <c r="D30" s="13"/>
      <c r="E30" s="13">
        <v>1</v>
      </c>
      <c r="F30" s="13" t="s">
        <v>91</v>
      </c>
      <c r="G30" s="13">
        <v>27</v>
      </c>
      <c r="H30" s="13">
        <v>32</v>
      </c>
      <c r="I30" s="13" t="s">
        <v>120</v>
      </c>
      <c r="J30" s="13" t="s">
        <v>125</v>
      </c>
      <c r="K30" s="13" t="s">
        <v>94</v>
      </c>
      <c r="L30" s="13">
        <v>600</v>
      </c>
      <c r="M30" s="13">
        <v>4</v>
      </c>
      <c r="N30" s="13" t="s">
        <v>103</v>
      </c>
      <c r="O30" s="13">
        <v>55</v>
      </c>
      <c r="P30" s="31">
        <v>1.75</v>
      </c>
      <c r="Q30" s="16">
        <f t="shared" si="0"/>
        <v>17.9591836734694</v>
      </c>
      <c r="R30" s="13">
        <v>76</v>
      </c>
      <c r="S30" s="13" t="s">
        <v>95</v>
      </c>
      <c r="T30" s="13">
        <v>255</v>
      </c>
      <c r="U30" s="13">
        <v>4341</v>
      </c>
      <c r="V30" s="16">
        <f t="shared" si="7"/>
        <v>5.00023036166782</v>
      </c>
      <c r="W30" s="87">
        <f t="shared" si="8"/>
        <v>20647</v>
      </c>
      <c r="X30" s="13">
        <v>21706</v>
      </c>
      <c r="Y30" s="13">
        <v>1059</v>
      </c>
      <c r="Z30" s="13">
        <v>243</v>
      </c>
      <c r="AA30" s="13">
        <v>234.2</v>
      </c>
      <c r="AB30" s="13" t="s">
        <v>96</v>
      </c>
      <c r="AC30" s="13" t="s">
        <v>108</v>
      </c>
      <c r="AD30" s="13" t="s">
        <v>98</v>
      </c>
      <c r="AE30" s="13">
        <v>80</v>
      </c>
      <c r="AF30" s="13">
        <v>85</v>
      </c>
      <c r="AG30" s="13">
        <v>90</v>
      </c>
      <c r="AH30" s="13" t="s">
        <v>99</v>
      </c>
      <c r="AI30" s="13" t="s">
        <v>100</v>
      </c>
      <c r="AJ30" s="13" t="s">
        <v>101</v>
      </c>
      <c r="AK30" s="13" t="s">
        <v>102</v>
      </c>
      <c r="AL30" s="13">
        <v>30.2</v>
      </c>
      <c r="AM30" s="13" t="s">
        <v>100</v>
      </c>
      <c r="AN30" s="13" t="s">
        <v>101</v>
      </c>
      <c r="AO30" s="13" t="s">
        <v>102</v>
      </c>
      <c r="AP30" s="13">
        <v>115.2</v>
      </c>
      <c r="AQ30" s="13">
        <v>39.68</v>
      </c>
      <c r="AR30" s="13">
        <v>15.1</v>
      </c>
      <c r="AS30" s="16">
        <f t="shared" si="2"/>
        <v>5.99168</v>
      </c>
      <c r="AT30" s="13">
        <v>46.3</v>
      </c>
      <c r="AU30" s="13">
        <v>156</v>
      </c>
      <c r="AV30" s="13">
        <v>358.15</v>
      </c>
      <c r="AW30" s="13">
        <v>67.4</v>
      </c>
      <c r="AX30" s="16">
        <f t="shared" si="3"/>
        <v>241.3931</v>
      </c>
      <c r="AY30" s="16">
        <f t="shared" si="9"/>
        <v>56.53426402</v>
      </c>
      <c r="AZ30" s="31">
        <v>1.7</v>
      </c>
      <c r="BA30" s="13">
        <v>0.17</v>
      </c>
      <c r="BB30" s="13">
        <v>2263</v>
      </c>
      <c r="BC30" s="13">
        <v>30.96</v>
      </c>
      <c r="BD30" s="13">
        <v>9.8</v>
      </c>
      <c r="BE30" s="16">
        <f t="shared" si="4"/>
        <v>3.03408</v>
      </c>
      <c r="BF30" s="13">
        <v>47.8</v>
      </c>
      <c r="BG30" s="13">
        <v>58</v>
      </c>
      <c r="BH30" s="31">
        <v>36.6</v>
      </c>
      <c r="BI30" s="13">
        <v>60.5</v>
      </c>
      <c r="BJ30" s="31">
        <v>2560.2</v>
      </c>
      <c r="BK30" s="31">
        <v>599.6</v>
      </c>
      <c r="BL30" s="31">
        <v>7.8</v>
      </c>
      <c r="BM30" s="13">
        <v>359357</v>
      </c>
      <c r="BN30" s="31">
        <v>99.2</v>
      </c>
      <c r="BO30" s="13" t="s">
        <v>103</v>
      </c>
      <c r="BP30" s="16">
        <f t="shared" si="5"/>
        <v>20.647</v>
      </c>
      <c r="BQ30" s="16">
        <f t="shared" si="6"/>
        <v>48.0008902099719</v>
      </c>
      <c r="BR30" s="16">
        <f t="shared" si="10"/>
        <v>45.6989450097558</v>
      </c>
      <c r="BS30" s="102">
        <f t="shared" si="11"/>
        <v>62.8205128205128</v>
      </c>
      <c r="BT30" s="13" t="s">
        <v>102</v>
      </c>
      <c r="BU30" s="13" t="s">
        <v>119</v>
      </c>
      <c r="BV30" s="12">
        <v>45737</v>
      </c>
      <c r="BW30" s="13" t="s">
        <v>119</v>
      </c>
      <c r="BX30" s="31">
        <v>7.8</v>
      </c>
      <c r="BY30" s="13" t="s">
        <v>103</v>
      </c>
      <c r="BZ30" s="13" t="s">
        <v>103</v>
      </c>
      <c r="CA30" s="13" t="s">
        <v>103</v>
      </c>
    </row>
    <row r="31" spans="1:79">
      <c r="A31" s="12">
        <v>45738</v>
      </c>
      <c r="B31" s="13">
        <v>25030034</v>
      </c>
      <c r="C31" s="13"/>
      <c r="D31" s="13"/>
      <c r="E31" s="13">
        <v>1</v>
      </c>
      <c r="F31" s="13" t="s">
        <v>91</v>
      </c>
      <c r="G31" s="13">
        <v>52</v>
      </c>
      <c r="H31" s="13">
        <v>52</v>
      </c>
      <c r="I31" s="13" t="s">
        <v>92</v>
      </c>
      <c r="J31" s="13" t="s">
        <v>117</v>
      </c>
      <c r="K31" s="13" t="s">
        <v>94</v>
      </c>
      <c r="L31" s="13">
        <v>600</v>
      </c>
      <c r="M31" s="13">
        <v>7</v>
      </c>
      <c r="N31" s="13" t="s">
        <v>103</v>
      </c>
      <c r="O31" s="13">
        <v>76</v>
      </c>
      <c r="P31" s="31">
        <v>1.77</v>
      </c>
      <c r="Q31" s="16">
        <f t="shared" si="0"/>
        <v>24.2586740719461</v>
      </c>
      <c r="R31" s="13">
        <v>76</v>
      </c>
      <c r="S31" s="13" t="s">
        <v>95</v>
      </c>
      <c r="T31" s="13">
        <v>242</v>
      </c>
      <c r="U31" s="13">
        <v>5085</v>
      </c>
      <c r="V31" s="16">
        <f t="shared" si="7"/>
        <v>3.00019665683382</v>
      </c>
      <c r="W31" s="87">
        <f t="shared" si="8"/>
        <v>14509</v>
      </c>
      <c r="X31" s="13">
        <v>15256</v>
      </c>
      <c r="Y31" s="13">
        <v>747</v>
      </c>
      <c r="Z31" s="13">
        <v>211</v>
      </c>
      <c r="AA31" s="13">
        <v>202</v>
      </c>
      <c r="AB31" s="13" t="s">
        <v>96</v>
      </c>
      <c r="AC31" s="13" t="s">
        <v>97</v>
      </c>
      <c r="AD31" s="13" t="s">
        <v>122</v>
      </c>
      <c r="AE31" s="13">
        <v>49</v>
      </c>
      <c r="AF31" s="13">
        <v>64.5</v>
      </c>
      <c r="AG31" s="13">
        <v>80</v>
      </c>
      <c r="AH31" s="13" t="s">
        <v>99</v>
      </c>
      <c r="AI31" s="13" t="s">
        <v>100</v>
      </c>
      <c r="AJ31" s="13" t="s">
        <v>101</v>
      </c>
      <c r="AK31" s="13" t="s">
        <v>102</v>
      </c>
      <c r="AL31" s="13" t="s">
        <v>113</v>
      </c>
      <c r="AM31" s="13" t="s">
        <v>100</v>
      </c>
      <c r="AN31" s="13" t="s">
        <v>101</v>
      </c>
      <c r="AO31" s="13" t="s">
        <v>102</v>
      </c>
      <c r="AP31" s="13" t="s">
        <v>113</v>
      </c>
      <c r="AQ31" s="13">
        <v>3.59</v>
      </c>
      <c r="AR31" s="13">
        <v>45.4</v>
      </c>
      <c r="AS31" s="16">
        <f t="shared" si="2"/>
        <v>1.62986</v>
      </c>
      <c r="AT31" s="13">
        <v>24.7</v>
      </c>
      <c r="AU31" s="13">
        <v>141</v>
      </c>
      <c r="AV31" s="13">
        <v>99.71</v>
      </c>
      <c r="AW31" s="13">
        <v>79.1</v>
      </c>
      <c r="AX31" s="16">
        <f t="shared" si="3"/>
        <v>78.87061</v>
      </c>
      <c r="AY31" s="16">
        <f t="shared" si="9"/>
        <v>15.93186322</v>
      </c>
      <c r="AZ31" s="31">
        <v>2.4</v>
      </c>
      <c r="BA31" s="13">
        <v>0.17</v>
      </c>
      <c r="BB31" s="13">
        <v>1064</v>
      </c>
      <c r="BC31" s="13">
        <v>5.15</v>
      </c>
      <c r="BD31" s="13">
        <v>34.3</v>
      </c>
      <c r="BE31" s="16">
        <f t="shared" si="4"/>
        <v>1.76645</v>
      </c>
      <c r="BF31" s="13">
        <v>26.3</v>
      </c>
      <c r="BG31" s="13">
        <v>133</v>
      </c>
      <c r="BH31" s="31">
        <v>7.6</v>
      </c>
      <c r="BI31" s="13">
        <v>29.4</v>
      </c>
      <c r="BJ31" s="31">
        <v>1526.1</v>
      </c>
      <c r="BK31" s="31">
        <v>308.2</v>
      </c>
      <c r="BL31" s="31">
        <v>4</v>
      </c>
      <c r="BM31" s="13">
        <v>90142</v>
      </c>
      <c r="BN31" s="31">
        <v>99</v>
      </c>
      <c r="BO31" s="13" t="s">
        <v>103</v>
      </c>
      <c r="BP31" s="16">
        <f t="shared" si="5"/>
        <v>14.509</v>
      </c>
      <c r="BQ31" s="16">
        <f t="shared" si="6"/>
        <v>72.2516589515398</v>
      </c>
      <c r="BR31" s="16">
        <f t="shared" si="10"/>
        <v>67.3718987133005</v>
      </c>
      <c r="BS31" s="102">
        <f t="shared" si="11"/>
        <v>5.67375886524822</v>
      </c>
      <c r="BT31" s="13" t="s">
        <v>102</v>
      </c>
      <c r="BU31" s="13" t="s">
        <v>119</v>
      </c>
      <c r="BV31" s="12">
        <v>45742</v>
      </c>
      <c r="BW31" s="13" t="s">
        <v>119</v>
      </c>
      <c r="BX31" s="31">
        <v>4</v>
      </c>
      <c r="BY31" s="13" t="s">
        <v>103</v>
      </c>
      <c r="BZ31" s="13" t="s">
        <v>103</v>
      </c>
      <c r="CA31" s="13" t="s">
        <v>103</v>
      </c>
    </row>
    <row r="32" spans="1:79">
      <c r="A32" s="12">
        <v>45741</v>
      </c>
      <c r="B32" s="13">
        <v>25030037</v>
      </c>
      <c r="C32" s="13"/>
      <c r="D32" s="13"/>
      <c r="E32" s="13">
        <v>1</v>
      </c>
      <c r="F32" s="13" t="s">
        <v>111</v>
      </c>
      <c r="G32" s="13">
        <v>53</v>
      </c>
      <c r="H32" s="13">
        <v>53</v>
      </c>
      <c r="I32" s="13" t="s">
        <v>92</v>
      </c>
      <c r="J32" s="13" t="s">
        <v>133</v>
      </c>
      <c r="K32" s="13" t="s">
        <v>94</v>
      </c>
      <c r="L32" s="13">
        <v>600</v>
      </c>
      <c r="M32" s="13">
        <v>4</v>
      </c>
      <c r="N32" s="13" t="s">
        <v>103</v>
      </c>
      <c r="O32" s="13">
        <v>72</v>
      </c>
      <c r="P32" s="31">
        <v>1.63</v>
      </c>
      <c r="Q32" s="16">
        <f t="shared" si="0"/>
        <v>27.0992510068125</v>
      </c>
      <c r="R32" s="13">
        <v>72</v>
      </c>
      <c r="S32" s="13" t="s">
        <v>95</v>
      </c>
      <c r="T32" s="13">
        <v>253</v>
      </c>
      <c r="U32" s="13">
        <v>4107</v>
      </c>
      <c r="V32" s="16">
        <f t="shared" si="7"/>
        <v>5</v>
      </c>
      <c r="W32" s="87">
        <f t="shared" si="8"/>
        <v>19535</v>
      </c>
      <c r="X32" s="13">
        <v>20535</v>
      </c>
      <c r="Y32" s="13">
        <v>1000</v>
      </c>
      <c r="Z32" s="13">
        <v>236</v>
      </c>
      <c r="AA32" s="13">
        <v>233.7</v>
      </c>
      <c r="AB32" s="13" t="s">
        <v>96</v>
      </c>
      <c r="AC32" s="13" t="s">
        <v>97</v>
      </c>
      <c r="AD32" s="13" t="s">
        <v>98</v>
      </c>
      <c r="AE32" s="13">
        <v>80</v>
      </c>
      <c r="AF32" s="13">
        <v>85</v>
      </c>
      <c r="AG32" s="13">
        <v>90</v>
      </c>
      <c r="AH32" s="13" t="s">
        <v>109</v>
      </c>
      <c r="AI32" s="13" t="s">
        <v>110</v>
      </c>
      <c r="AJ32" s="13" t="s">
        <v>101</v>
      </c>
      <c r="AK32" s="13" t="s">
        <v>102</v>
      </c>
      <c r="AL32" s="13">
        <v>101.9</v>
      </c>
      <c r="AM32" s="13" t="s">
        <v>110</v>
      </c>
      <c r="AN32" s="13" t="s">
        <v>101</v>
      </c>
      <c r="AO32" s="13" t="s">
        <v>102</v>
      </c>
      <c r="AP32" s="13">
        <v>101.9</v>
      </c>
      <c r="AQ32" s="13">
        <v>78.27</v>
      </c>
      <c r="AR32" s="13">
        <v>15.6</v>
      </c>
      <c r="AS32" s="16">
        <f t="shared" si="2"/>
        <v>12.21012</v>
      </c>
      <c r="AT32" s="13">
        <v>27.5</v>
      </c>
      <c r="AU32" s="13">
        <v>253</v>
      </c>
      <c r="AV32" s="13">
        <v>547.2</v>
      </c>
      <c r="AW32" s="13">
        <v>61.8</v>
      </c>
      <c r="AX32" s="16">
        <f t="shared" si="3"/>
        <v>338.1696</v>
      </c>
      <c r="AY32" s="16">
        <f t="shared" si="9"/>
        <v>79.03023552</v>
      </c>
      <c r="AZ32" s="31">
        <v>0.2</v>
      </c>
      <c r="BA32" s="13">
        <v>0.3</v>
      </c>
      <c r="BB32" s="13">
        <v>1910</v>
      </c>
      <c r="BC32" s="13">
        <v>53.17</v>
      </c>
      <c r="BD32" s="13">
        <v>7.6</v>
      </c>
      <c r="BE32" s="16">
        <f t="shared" si="4"/>
        <v>4.04092</v>
      </c>
      <c r="BF32" s="13">
        <v>29.6</v>
      </c>
      <c r="BG32" s="13">
        <v>133</v>
      </c>
      <c r="BH32" s="31">
        <v>19.5</v>
      </c>
      <c r="BI32" s="13">
        <v>44.9</v>
      </c>
      <c r="BJ32" s="31">
        <v>1080.9</v>
      </c>
      <c r="BK32" s="31">
        <v>252.6</v>
      </c>
      <c r="BL32" s="31">
        <v>3.5</v>
      </c>
      <c r="BM32" s="13">
        <v>535674</v>
      </c>
      <c r="BN32" s="31">
        <v>99.1</v>
      </c>
      <c r="BO32" s="13" t="s">
        <v>103</v>
      </c>
      <c r="BP32" s="16">
        <f t="shared" si="5"/>
        <v>19.535</v>
      </c>
      <c r="BQ32" s="16">
        <f t="shared" si="6"/>
        <v>28.7987468098775</v>
      </c>
      <c r="BR32" s="16">
        <f t="shared" si="10"/>
        <v>33.1329365225951</v>
      </c>
      <c r="BS32" s="102">
        <f t="shared" si="11"/>
        <v>47.4308300395257</v>
      </c>
      <c r="BT32" s="13" t="s">
        <v>102</v>
      </c>
      <c r="BU32" s="13" t="s">
        <v>105</v>
      </c>
      <c r="BV32" s="103"/>
      <c r="BW32" s="13" t="s">
        <v>105</v>
      </c>
      <c r="BX32" s="31">
        <v>3.5</v>
      </c>
      <c r="BY32" s="13" t="s">
        <v>103</v>
      </c>
      <c r="BZ32" s="13" t="s">
        <v>103</v>
      </c>
      <c r="CA32" s="13" t="s">
        <v>103</v>
      </c>
    </row>
    <row r="33" spans="1:79">
      <c r="A33" s="12">
        <v>45744</v>
      </c>
      <c r="B33" s="13">
        <v>25030041</v>
      </c>
      <c r="C33" s="13"/>
      <c r="D33" s="13"/>
      <c r="E33" s="13">
        <v>1</v>
      </c>
      <c r="F33" s="13" t="s">
        <v>91</v>
      </c>
      <c r="G33" s="13">
        <v>43</v>
      </c>
      <c r="H33" s="13">
        <v>73</v>
      </c>
      <c r="I33" s="13" t="s">
        <v>124</v>
      </c>
      <c r="J33" s="13" t="s">
        <v>141</v>
      </c>
      <c r="K33" s="13" t="s">
        <v>94</v>
      </c>
      <c r="L33" s="13">
        <v>600</v>
      </c>
      <c r="M33" s="13">
        <v>4</v>
      </c>
      <c r="N33" s="13" t="s">
        <v>103</v>
      </c>
      <c r="O33" s="13">
        <v>74</v>
      </c>
      <c r="P33" s="31">
        <v>1.7</v>
      </c>
      <c r="Q33" s="16">
        <f t="shared" si="0"/>
        <v>25.6055363321799</v>
      </c>
      <c r="R33" s="13">
        <v>71</v>
      </c>
      <c r="S33" s="13" t="s">
        <v>95</v>
      </c>
      <c r="T33" s="13">
        <v>283</v>
      </c>
      <c r="U33" s="13">
        <v>4789</v>
      </c>
      <c r="V33" s="16">
        <f t="shared" si="7"/>
        <v>5.00020881186051</v>
      </c>
      <c r="W33" s="87">
        <f t="shared" si="8"/>
        <v>22768</v>
      </c>
      <c r="X33" s="13">
        <v>23946</v>
      </c>
      <c r="Y33" s="13">
        <v>1178</v>
      </c>
      <c r="Z33" s="13">
        <v>277</v>
      </c>
      <c r="AA33" s="13">
        <v>264.6</v>
      </c>
      <c r="AB33" s="13" t="s">
        <v>96</v>
      </c>
      <c r="AC33" s="13" t="s">
        <v>97</v>
      </c>
      <c r="AD33" s="13" t="s">
        <v>98</v>
      </c>
      <c r="AE33" s="13">
        <v>90</v>
      </c>
      <c r="AF33" s="13">
        <v>90</v>
      </c>
      <c r="AG33" s="13">
        <v>90</v>
      </c>
      <c r="AH33" s="13" t="s">
        <v>109</v>
      </c>
      <c r="AI33" s="13" t="s">
        <v>100</v>
      </c>
      <c r="AJ33" s="13" t="s">
        <v>101</v>
      </c>
      <c r="AK33" s="13" t="s">
        <v>102</v>
      </c>
      <c r="AL33" s="13" t="s">
        <v>102</v>
      </c>
      <c r="AM33" s="13" t="s">
        <v>100</v>
      </c>
      <c r="AN33" s="13" t="s">
        <v>101</v>
      </c>
      <c r="AO33" s="13" t="s">
        <v>102</v>
      </c>
      <c r="AP33" s="13">
        <v>169.3</v>
      </c>
      <c r="AQ33" s="13">
        <v>53.39</v>
      </c>
      <c r="AR33" s="13">
        <v>13.8</v>
      </c>
      <c r="AS33" s="16">
        <f t="shared" si="2"/>
        <v>7.36782</v>
      </c>
      <c r="AT33" s="13">
        <v>42.6</v>
      </c>
      <c r="AU33" s="13">
        <v>262</v>
      </c>
      <c r="AV33" s="13">
        <v>388.91</v>
      </c>
      <c r="AW33" s="13">
        <v>71.7</v>
      </c>
      <c r="AX33" s="16">
        <f t="shared" si="3"/>
        <v>278.84847</v>
      </c>
      <c r="AY33" s="16">
        <f t="shared" si="9"/>
        <v>73.783305162</v>
      </c>
      <c r="AZ33" s="31">
        <v>3.8</v>
      </c>
      <c r="BA33" s="13">
        <v>0.45</v>
      </c>
      <c r="BB33" s="13">
        <v>3545</v>
      </c>
      <c r="BC33" s="13">
        <v>48.9</v>
      </c>
      <c r="BD33" s="13">
        <v>7.5</v>
      </c>
      <c r="BE33" s="16">
        <f t="shared" si="4"/>
        <v>3.6675</v>
      </c>
      <c r="BF33" s="13">
        <v>41.2</v>
      </c>
      <c r="BG33" s="13">
        <v>83</v>
      </c>
      <c r="BH33" s="31">
        <v>42.6</v>
      </c>
      <c r="BI33" s="13">
        <v>83.5</v>
      </c>
      <c r="BJ33" s="31">
        <v>3537.5</v>
      </c>
      <c r="BK33" s="31">
        <v>936</v>
      </c>
      <c r="BL33" s="31">
        <v>13.1</v>
      </c>
      <c r="BM33" s="13">
        <v>431041</v>
      </c>
      <c r="BN33" s="31">
        <v>99.2</v>
      </c>
      <c r="BO33" s="13" t="s">
        <v>103</v>
      </c>
      <c r="BP33" s="16">
        <f t="shared" si="5"/>
        <v>22.768</v>
      </c>
      <c r="BQ33" s="16">
        <f t="shared" si="6"/>
        <v>49.2339284887709</v>
      </c>
      <c r="BR33" s="16">
        <f t="shared" si="10"/>
        <v>43.9839486807698</v>
      </c>
      <c r="BS33" s="102">
        <f t="shared" si="11"/>
        <v>68.3206106870229</v>
      </c>
      <c r="BT33" s="13" t="s">
        <v>102</v>
      </c>
      <c r="BU33" s="13" t="s">
        <v>139</v>
      </c>
      <c r="BV33" s="12">
        <v>45747</v>
      </c>
      <c r="BW33" s="13" t="s">
        <v>139</v>
      </c>
      <c r="BX33" s="31">
        <v>13.1</v>
      </c>
      <c r="BY33" s="13" t="s">
        <v>103</v>
      </c>
      <c r="BZ33" s="13" t="s">
        <v>103</v>
      </c>
      <c r="CA33" s="13" t="s">
        <v>103</v>
      </c>
    </row>
    <row r="34" spans="1:79">
      <c r="A34" s="12">
        <v>45748</v>
      </c>
      <c r="B34" s="13">
        <v>25040001</v>
      </c>
      <c r="C34" s="13"/>
      <c r="D34" s="13"/>
      <c r="E34" s="13">
        <v>1</v>
      </c>
      <c r="F34" s="13" t="s">
        <v>111</v>
      </c>
      <c r="G34" s="13">
        <v>71</v>
      </c>
      <c r="H34" s="13">
        <v>71</v>
      </c>
      <c r="I34" s="13" t="s">
        <v>92</v>
      </c>
      <c r="J34" s="13" t="s">
        <v>93</v>
      </c>
      <c r="K34" s="13" t="s">
        <v>94</v>
      </c>
      <c r="L34" s="13">
        <v>600</v>
      </c>
      <c r="M34" s="13">
        <v>4</v>
      </c>
      <c r="N34" s="13">
        <v>0.24</v>
      </c>
      <c r="O34" s="13">
        <v>59</v>
      </c>
      <c r="P34" s="31">
        <v>1.54</v>
      </c>
      <c r="Q34" s="16">
        <f t="shared" si="0"/>
        <v>24.8777196829145</v>
      </c>
      <c r="R34" s="13">
        <v>59</v>
      </c>
      <c r="S34" s="13" t="s">
        <v>95</v>
      </c>
      <c r="T34" s="13">
        <v>212</v>
      </c>
      <c r="U34" s="13">
        <v>3436</v>
      </c>
      <c r="V34" s="16">
        <f t="shared" si="7"/>
        <v>5.00029103608848</v>
      </c>
      <c r="W34" s="87">
        <f t="shared" si="8"/>
        <v>16337</v>
      </c>
      <c r="X34" s="13">
        <v>17181</v>
      </c>
      <c r="Y34" s="13">
        <v>844</v>
      </c>
      <c r="Z34" s="13">
        <v>195</v>
      </c>
      <c r="AA34" s="13">
        <v>203.2</v>
      </c>
      <c r="AB34" s="13" t="s">
        <v>96</v>
      </c>
      <c r="AC34" s="13" t="s">
        <v>97</v>
      </c>
      <c r="AD34" s="13" t="s">
        <v>98</v>
      </c>
      <c r="AE34" s="13">
        <v>80</v>
      </c>
      <c r="AF34" s="13">
        <v>85</v>
      </c>
      <c r="AG34" s="13">
        <v>90.5</v>
      </c>
      <c r="AH34" s="13" t="s">
        <v>142</v>
      </c>
      <c r="AI34" s="13" t="s">
        <v>100</v>
      </c>
      <c r="AJ34" s="13" t="s">
        <v>101</v>
      </c>
      <c r="AK34" s="13" t="s">
        <v>102</v>
      </c>
      <c r="AL34" s="13">
        <v>59.4</v>
      </c>
      <c r="AM34" s="13" t="s">
        <v>100</v>
      </c>
      <c r="AN34" s="13" t="s">
        <v>101</v>
      </c>
      <c r="AO34" s="13" t="s">
        <v>102</v>
      </c>
      <c r="AP34" s="13">
        <v>59.4</v>
      </c>
      <c r="AQ34" s="13">
        <v>22.65</v>
      </c>
      <c r="AR34" s="13">
        <v>45</v>
      </c>
      <c r="AS34" s="16">
        <f t="shared" si="2"/>
        <v>10.1925</v>
      </c>
      <c r="AT34" s="13">
        <v>39.6</v>
      </c>
      <c r="AU34" s="13">
        <v>109</v>
      </c>
      <c r="AV34" s="13">
        <v>370.73</v>
      </c>
      <c r="AW34" s="13">
        <v>97.5</v>
      </c>
      <c r="AX34" s="16">
        <f t="shared" si="3"/>
        <v>361.46175</v>
      </c>
      <c r="AY34" s="16">
        <f t="shared" si="9"/>
        <v>73.4490276</v>
      </c>
      <c r="AZ34" s="31">
        <v>2.1</v>
      </c>
      <c r="BA34" s="13">
        <v>0.31</v>
      </c>
      <c r="BB34" s="13">
        <v>1365</v>
      </c>
      <c r="BC34" s="13">
        <v>16.96</v>
      </c>
      <c r="BD34" s="13">
        <v>29.5</v>
      </c>
      <c r="BE34" s="16">
        <f t="shared" si="4"/>
        <v>5.0032</v>
      </c>
      <c r="BF34" s="13">
        <v>36.9</v>
      </c>
      <c r="BG34" s="13">
        <v>54</v>
      </c>
      <c r="BH34" s="31">
        <v>0.9</v>
      </c>
      <c r="BI34" s="13">
        <v>6</v>
      </c>
      <c r="BJ34" s="31">
        <v>291.3</v>
      </c>
      <c r="BK34" s="31">
        <v>59.1</v>
      </c>
      <c r="BL34" s="31">
        <v>1</v>
      </c>
      <c r="BM34" s="13">
        <v>356182</v>
      </c>
      <c r="BN34" s="31">
        <v>98.3</v>
      </c>
      <c r="BO34" s="13" t="s">
        <v>103</v>
      </c>
      <c r="BP34" s="16">
        <f t="shared" si="5"/>
        <v>16.337</v>
      </c>
      <c r="BQ34" s="16">
        <f t="shared" si="6"/>
        <v>60.2925873783436</v>
      </c>
      <c r="BR34" s="16">
        <f t="shared" si="10"/>
        <v>44.1095900307644</v>
      </c>
      <c r="BS34" s="102">
        <f t="shared" si="11"/>
        <v>50.4587155963303</v>
      </c>
      <c r="BT34" s="13" t="s">
        <v>102</v>
      </c>
      <c r="BU34" s="13" t="s">
        <v>119</v>
      </c>
      <c r="BV34" s="12">
        <v>45750</v>
      </c>
      <c r="BW34" s="13" t="s">
        <v>119</v>
      </c>
      <c r="BX34" s="31">
        <v>1</v>
      </c>
      <c r="BY34" s="13" t="s">
        <v>103</v>
      </c>
      <c r="BZ34" s="13" t="s">
        <v>103</v>
      </c>
      <c r="CA34" s="13" t="s">
        <v>103</v>
      </c>
    </row>
    <row r="35" spans="1:79">
      <c r="A35" s="12">
        <v>45749</v>
      </c>
      <c r="B35" s="13">
        <v>25040003</v>
      </c>
      <c r="C35" s="13"/>
      <c r="D35" s="13"/>
      <c r="E35" s="13">
        <v>2</v>
      </c>
      <c r="F35" s="13" t="s">
        <v>111</v>
      </c>
      <c r="G35" s="13">
        <v>71</v>
      </c>
      <c r="H35" s="13">
        <v>71</v>
      </c>
      <c r="I35" s="13" t="s">
        <v>92</v>
      </c>
      <c r="J35" s="13" t="s">
        <v>93</v>
      </c>
      <c r="K35" s="13" t="s">
        <v>94</v>
      </c>
      <c r="L35" s="13">
        <v>600</v>
      </c>
      <c r="M35" s="13">
        <v>1</v>
      </c>
      <c r="N35" s="13">
        <v>0.24</v>
      </c>
      <c r="O35" s="13">
        <v>59</v>
      </c>
      <c r="P35" s="31">
        <v>1.54</v>
      </c>
      <c r="Q35" s="16">
        <f t="shared" si="0"/>
        <v>24.8777196829145</v>
      </c>
      <c r="R35" s="13">
        <v>59</v>
      </c>
      <c r="S35" s="13" t="s">
        <v>95</v>
      </c>
      <c r="T35" s="13">
        <v>217</v>
      </c>
      <c r="U35" s="13">
        <v>3436</v>
      </c>
      <c r="V35" s="16">
        <f t="shared" si="7"/>
        <v>5.00029103608848</v>
      </c>
      <c r="W35" s="87">
        <f t="shared" si="8"/>
        <v>16339</v>
      </c>
      <c r="X35" s="13">
        <v>17181</v>
      </c>
      <c r="Y35" s="13">
        <v>842</v>
      </c>
      <c r="Z35" s="13">
        <v>198</v>
      </c>
      <c r="AA35" s="13">
        <v>205.3</v>
      </c>
      <c r="AB35" s="13" t="s">
        <v>96</v>
      </c>
      <c r="AC35" s="13" t="s">
        <v>97</v>
      </c>
      <c r="AD35" s="13" t="s">
        <v>98</v>
      </c>
      <c r="AE35" s="13">
        <v>90.4</v>
      </c>
      <c r="AF35" s="13">
        <v>87.7</v>
      </c>
      <c r="AG35" s="13">
        <v>85</v>
      </c>
      <c r="AH35" s="13" t="s">
        <v>143</v>
      </c>
      <c r="AI35" s="13" t="s">
        <v>100</v>
      </c>
      <c r="AJ35" s="13" t="s">
        <v>101</v>
      </c>
      <c r="AK35" s="13" t="s">
        <v>102</v>
      </c>
      <c r="AL35" s="13">
        <v>59.4</v>
      </c>
      <c r="AM35" s="13" t="s">
        <v>100</v>
      </c>
      <c r="AN35" s="13" t="s">
        <v>101</v>
      </c>
      <c r="AO35" s="13" t="s">
        <v>102</v>
      </c>
      <c r="AP35" s="13">
        <v>59.4</v>
      </c>
      <c r="AQ35" s="13">
        <v>18.22</v>
      </c>
      <c r="AR35" s="13">
        <v>32.9</v>
      </c>
      <c r="AS35" s="16">
        <f t="shared" si="2"/>
        <v>5.99438</v>
      </c>
      <c r="AT35" s="13">
        <v>35.4</v>
      </c>
      <c r="AU35" s="13">
        <v>51</v>
      </c>
      <c r="AV35" s="13">
        <v>288.02</v>
      </c>
      <c r="AW35" s="13">
        <v>82.4</v>
      </c>
      <c r="AX35" s="16">
        <f t="shared" si="3"/>
        <v>237.32848</v>
      </c>
      <c r="AY35" s="16">
        <f t="shared" si="9"/>
        <v>48.723536944</v>
      </c>
      <c r="AZ35" s="31">
        <v>1.9</v>
      </c>
      <c r="BA35" s="13">
        <v>0.18</v>
      </c>
      <c r="BB35" s="13">
        <v>712</v>
      </c>
      <c r="BC35" s="13">
        <v>16.18</v>
      </c>
      <c r="BD35" s="13">
        <v>23.2</v>
      </c>
      <c r="BE35" s="16">
        <f t="shared" si="4"/>
        <v>3.75376</v>
      </c>
      <c r="BF35" s="13">
        <v>36.3</v>
      </c>
      <c r="BG35" s="13">
        <v>31</v>
      </c>
      <c r="BH35" s="31">
        <v>6</v>
      </c>
      <c r="BI35" s="13">
        <v>7.5</v>
      </c>
      <c r="BJ35" s="31">
        <v>291.8</v>
      </c>
      <c r="BK35" s="31">
        <v>59.9</v>
      </c>
      <c r="BL35" s="31">
        <v>1.01</v>
      </c>
      <c r="BM35" s="13">
        <v>299338</v>
      </c>
      <c r="BN35" s="31">
        <v>99.2</v>
      </c>
      <c r="BO35" s="13" t="s">
        <v>103</v>
      </c>
      <c r="BP35" s="16">
        <f t="shared" si="5"/>
        <v>16.339</v>
      </c>
      <c r="BQ35" s="16">
        <f t="shared" si="6"/>
        <v>48.881000469225</v>
      </c>
      <c r="BR35" s="16">
        <f t="shared" si="10"/>
        <v>49.7472483468384</v>
      </c>
      <c r="BS35" s="102">
        <f t="shared" si="11"/>
        <v>39.2156862745098</v>
      </c>
      <c r="BT35" s="13" t="s">
        <v>102</v>
      </c>
      <c r="BU35" s="13" t="s">
        <v>119</v>
      </c>
      <c r="BV35" s="12">
        <v>45750</v>
      </c>
      <c r="BW35" s="13" t="s">
        <v>119</v>
      </c>
      <c r="BX35" s="31">
        <v>1.01</v>
      </c>
      <c r="BY35" s="13" t="s">
        <v>103</v>
      </c>
      <c r="BZ35" s="13" t="s">
        <v>103</v>
      </c>
      <c r="CA35" s="13" t="s">
        <v>103</v>
      </c>
    </row>
    <row r="36" spans="1:79">
      <c r="A36" s="12">
        <v>45756</v>
      </c>
      <c r="B36" s="13">
        <v>25040011</v>
      </c>
      <c r="C36" s="13"/>
      <c r="D36" s="13"/>
      <c r="E36" s="13">
        <v>1</v>
      </c>
      <c r="F36" s="13" t="s">
        <v>91</v>
      </c>
      <c r="G36" s="13">
        <v>15</v>
      </c>
      <c r="H36" s="13">
        <v>16</v>
      </c>
      <c r="I36" s="13" t="s">
        <v>124</v>
      </c>
      <c r="J36" s="13" t="s">
        <v>125</v>
      </c>
      <c r="K36" s="13" t="s">
        <v>94</v>
      </c>
      <c r="L36" s="13">
        <v>600</v>
      </c>
      <c r="M36" s="13">
        <v>4</v>
      </c>
      <c r="N36" s="13" t="s">
        <v>103</v>
      </c>
      <c r="O36" s="13">
        <v>48</v>
      </c>
      <c r="P36" s="31">
        <v>1.68</v>
      </c>
      <c r="Q36" s="16">
        <f t="shared" si="0"/>
        <v>17.0068027210884</v>
      </c>
      <c r="R36" s="13">
        <v>45</v>
      </c>
      <c r="S36" s="13" t="s">
        <v>95</v>
      </c>
      <c r="T36" s="13">
        <v>260</v>
      </c>
      <c r="U36" s="13">
        <v>3889</v>
      </c>
      <c r="V36" s="16">
        <f t="shared" si="7"/>
        <v>5.00025713551041</v>
      </c>
      <c r="W36" s="87">
        <f t="shared" si="8"/>
        <v>18496</v>
      </c>
      <c r="X36" s="13">
        <v>19446</v>
      </c>
      <c r="Y36" s="13">
        <v>950</v>
      </c>
      <c r="Z36" s="13">
        <v>239</v>
      </c>
      <c r="AA36" s="13">
        <v>241.6</v>
      </c>
      <c r="AB36" s="13" t="s">
        <v>96</v>
      </c>
      <c r="AC36" s="13" t="s">
        <v>97</v>
      </c>
      <c r="AD36" s="13" t="s">
        <v>98</v>
      </c>
      <c r="AE36" s="13">
        <v>80</v>
      </c>
      <c r="AF36" s="13">
        <v>80</v>
      </c>
      <c r="AG36" s="13">
        <v>80</v>
      </c>
      <c r="AH36" s="13" t="s">
        <v>99</v>
      </c>
      <c r="AI36" s="13" t="s">
        <v>100</v>
      </c>
      <c r="AJ36" s="13" t="s">
        <v>101</v>
      </c>
      <c r="AK36" s="13" t="s">
        <v>102</v>
      </c>
      <c r="AL36" s="13" t="s">
        <v>113</v>
      </c>
      <c r="AM36" s="13" t="s">
        <v>100</v>
      </c>
      <c r="AN36" s="13" t="s">
        <v>101</v>
      </c>
      <c r="AO36" s="13" t="s">
        <v>102</v>
      </c>
      <c r="AP36" s="13">
        <v>202.9</v>
      </c>
      <c r="AQ36" s="13">
        <v>56.15</v>
      </c>
      <c r="AR36" s="13">
        <v>13.2</v>
      </c>
      <c r="AS36" s="16">
        <f t="shared" si="2"/>
        <v>7.4118</v>
      </c>
      <c r="AT36" s="13">
        <v>39.1</v>
      </c>
      <c r="AU36" s="13">
        <v>234</v>
      </c>
      <c r="AV36" s="13">
        <v>422.12</v>
      </c>
      <c r="AW36" s="13">
        <v>62.1</v>
      </c>
      <c r="AX36" s="16">
        <f t="shared" si="3"/>
        <v>262.13652</v>
      </c>
      <c r="AY36" s="16">
        <f t="shared" si="9"/>
        <v>63.332183232</v>
      </c>
      <c r="AZ36" s="31">
        <v>1.7</v>
      </c>
      <c r="BA36" s="13">
        <v>0.15</v>
      </c>
      <c r="BB36" s="13">
        <v>2514</v>
      </c>
      <c r="BC36" s="13">
        <v>44.63</v>
      </c>
      <c r="BD36" s="13">
        <v>10</v>
      </c>
      <c r="BE36" s="16">
        <f t="shared" si="4"/>
        <v>4.463</v>
      </c>
      <c r="BF36" s="13">
        <v>39.2</v>
      </c>
      <c r="BG36" s="13">
        <v>120</v>
      </c>
      <c r="BH36" s="31">
        <v>48.3</v>
      </c>
      <c r="BI36" s="13">
        <v>83.2</v>
      </c>
      <c r="BJ36" s="31">
        <v>2581</v>
      </c>
      <c r="BK36" s="31">
        <v>623.5</v>
      </c>
      <c r="BL36" s="31">
        <v>13.8</v>
      </c>
      <c r="BM36" s="13">
        <v>422622</v>
      </c>
      <c r="BN36" s="31">
        <v>98.5</v>
      </c>
      <c r="BO36" s="13" t="s">
        <v>103</v>
      </c>
      <c r="BP36" s="16">
        <f t="shared" si="5"/>
        <v>18.496</v>
      </c>
      <c r="BQ36" s="16">
        <f t="shared" si="6"/>
        <v>40.5168165258185</v>
      </c>
      <c r="BR36" s="16">
        <f t="shared" si="10"/>
        <v>46.1979762281244</v>
      </c>
      <c r="BS36" s="102">
        <f t="shared" si="11"/>
        <v>48.7179487179487</v>
      </c>
      <c r="BT36" s="13" t="s">
        <v>102</v>
      </c>
      <c r="BU36" s="13" t="s">
        <v>105</v>
      </c>
      <c r="BV36" s="12">
        <v>45758</v>
      </c>
      <c r="BW36" s="13" t="s">
        <v>105</v>
      </c>
      <c r="BX36" s="31">
        <v>10</v>
      </c>
      <c r="BY36" s="13" t="s">
        <v>103</v>
      </c>
      <c r="BZ36" s="13" t="s">
        <v>103</v>
      </c>
      <c r="CA36" s="13" t="s">
        <v>103</v>
      </c>
    </row>
    <row r="37" spans="1:79">
      <c r="A37" s="12">
        <v>45757</v>
      </c>
      <c r="B37" s="13">
        <v>25040025</v>
      </c>
      <c r="C37" s="13"/>
      <c r="D37" s="13"/>
      <c r="E37" s="13">
        <v>1</v>
      </c>
      <c r="F37" s="13" t="s">
        <v>111</v>
      </c>
      <c r="G37" s="13">
        <v>1</v>
      </c>
      <c r="H37" s="13">
        <v>6</v>
      </c>
      <c r="I37" s="13" t="s">
        <v>124</v>
      </c>
      <c r="J37" s="13" t="s">
        <v>144</v>
      </c>
      <c r="K37" s="13" t="s">
        <v>135</v>
      </c>
      <c r="L37" s="13">
        <v>400</v>
      </c>
      <c r="M37" s="13">
        <v>4</v>
      </c>
      <c r="N37" s="13" t="s">
        <v>103</v>
      </c>
      <c r="O37" s="13">
        <v>9.6</v>
      </c>
      <c r="P37" s="31">
        <v>0.82</v>
      </c>
      <c r="Q37" s="16">
        <f t="shared" si="0"/>
        <v>14.2772159428911</v>
      </c>
      <c r="R37" s="13">
        <v>18</v>
      </c>
      <c r="S37" s="13" t="s">
        <v>140</v>
      </c>
      <c r="T37" s="13">
        <v>236</v>
      </c>
      <c r="U37" s="13">
        <v>720</v>
      </c>
      <c r="V37" s="16">
        <f t="shared" si="7"/>
        <v>5</v>
      </c>
      <c r="W37" s="87">
        <f t="shared" si="8"/>
        <v>3416</v>
      </c>
      <c r="X37" s="13">
        <v>3600</v>
      </c>
      <c r="Y37" s="13">
        <v>184</v>
      </c>
      <c r="Z37" s="13">
        <v>91</v>
      </c>
      <c r="AA37" s="13">
        <v>96.4</v>
      </c>
      <c r="AB37" s="13" t="s">
        <v>96</v>
      </c>
      <c r="AC37" s="13" t="s">
        <v>97</v>
      </c>
      <c r="AD37" s="13" t="s">
        <v>98</v>
      </c>
      <c r="AE37" s="13">
        <v>18</v>
      </c>
      <c r="AF37" s="13">
        <v>18</v>
      </c>
      <c r="AG37" s="13">
        <v>18</v>
      </c>
      <c r="AH37" s="13" t="s">
        <v>99</v>
      </c>
      <c r="AI37" s="13" t="s">
        <v>110</v>
      </c>
      <c r="AJ37" s="13" t="s">
        <v>101</v>
      </c>
      <c r="AK37" s="13" t="s">
        <v>102</v>
      </c>
      <c r="AL37" s="13" t="s">
        <v>102</v>
      </c>
      <c r="AM37" s="13" t="s">
        <v>110</v>
      </c>
      <c r="AN37" s="13" t="s">
        <v>101</v>
      </c>
      <c r="AO37" s="13" t="s">
        <v>102</v>
      </c>
      <c r="AP37" s="13">
        <v>80.1</v>
      </c>
      <c r="AQ37" s="13">
        <v>46.48</v>
      </c>
      <c r="AR37" s="13">
        <v>27.6</v>
      </c>
      <c r="AS37" s="16">
        <f t="shared" si="2"/>
        <v>12.82848</v>
      </c>
      <c r="AT37" s="13">
        <v>35.2</v>
      </c>
      <c r="AU37" s="13">
        <v>284</v>
      </c>
      <c r="AV37" s="13">
        <v>301.32</v>
      </c>
      <c r="AW37" s="13">
        <v>69.8</v>
      </c>
      <c r="AX37" s="16">
        <f t="shared" si="3"/>
        <v>210.32136</v>
      </c>
      <c r="AY37" s="16">
        <f t="shared" si="9"/>
        <v>20.274979104</v>
      </c>
      <c r="AZ37" s="31">
        <v>1.6</v>
      </c>
      <c r="BA37" s="13">
        <v>0.14</v>
      </c>
      <c r="BB37" s="13">
        <v>1188</v>
      </c>
      <c r="BC37" s="13">
        <v>25.61</v>
      </c>
      <c r="BD37" s="13">
        <v>34.5</v>
      </c>
      <c r="BE37" s="16">
        <f t="shared" si="4"/>
        <v>8.83545</v>
      </c>
      <c r="BF37" s="13">
        <v>37.6</v>
      </c>
      <c r="BG37" s="13">
        <v>122</v>
      </c>
      <c r="BH37" s="31">
        <v>47.4</v>
      </c>
      <c r="BI37" s="13">
        <v>137.6</v>
      </c>
      <c r="BJ37" s="31">
        <v>2208.9</v>
      </c>
      <c r="BK37" s="31">
        <v>212.9</v>
      </c>
      <c r="BL37" s="31">
        <v>11.8</v>
      </c>
      <c r="BM37" s="13">
        <v>338238</v>
      </c>
      <c r="BN37" s="31">
        <v>98.8</v>
      </c>
      <c r="BO37" s="13" t="s">
        <v>103</v>
      </c>
      <c r="BP37" s="16">
        <f t="shared" si="5"/>
        <v>3.416</v>
      </c>
      <c r="BQ37" s="16">
        <f t="shared" si="6"/>
        <v>45.2938633516693</v>
      </c>
      <c r="BR37" s="16">
        <f t="shared" si="10"/>
        <v>46.2665750934849</v>
      </c>
      <c r="BS37" s="102">
        <f t="shared" si="11"/>
        <v>57.0422535211268</v>
      </c>
      <c r="BT37" s="13" t="s">
        <v>102</v>
      </c>
      <c r="BU37" s="13" t="s">
        <v>105</v>
      </c>
      <c r="BV37" s="12">
        <v>45758</v>
      </c>
      <c r="BW37" s="13" t="s">
        <v>105</v>
      </c>
      <c r="BX37" s="31">
        <v>11.8</v>
      </c>
      <c r="BY37" s="13" t="s">
        <v>103</v>
      </c>
      <c r="BZ37" s="13" t="s">
        <v>103</v>
      </c>
      <c r="CA37" s="13" t="s">
        <v>103</v>
      </c>
    </row>
    <row r="38" spans="1:79">
      <c r="A38" s="12">
        <v>45758</v>
      </c>
      <c r="B38" s="13">
        <v>25040027</v>
      </c>
      <c r="C38" s="13"/>
      <c r="D38" s="13"/>
      <c r="E38" s="13">
        <v>1</v>
      </c>
      <c r="F38" s="13" t="s">
        <v>91</v>
      </c>
      <c r="G38" s="13">
        <v>43</v>
      </c>
      <c r="H38" s="13">
        <v>21</v>
      </c>
      <c r="I38" s="13" t="s">
        <v>124</v>
      </c>
      <c r="J38" s="13" t="s">
        <v>125</v>
      </c>
      <c r="K38" s="13" t="s">
        <v>94</v>
      </c>
      <c r="L38" s="13">
        <v>1200</v>
      </c>
      <c r="M38" s="13">
        <v>4</v>
      </c>
      <c r="N38" s="13" t="s">
        <v>103</v>
      </c>
      <c r="O38" s="13">
        <v>114</v>
      </c>
      <c r="P38" s="31">
        <v>1.7</v>
      </c>
      <c r="Q38" s="16">
        <f t="shared" si="0"/>
        <v>39.4463667820069</v>
      </c>
      <c r="R38" s="13">
        <v>133</v>
      </c>
      <c r="S38" s="13" t="s">
        <v>95</v>
      </c>
      <c r="T38" s="13">
        <v>332</v>
      </c>
      <c r="U38" s="13">
        <v>6076</v>
      </c>
      <c r="V38" s="16">
        <f t="shared" si="7"/>
        <v>5.00016458196182</v>
      </c>
      <c r="W38" s="87">
        <f t="shared" si="8"/>
        <v>28908</v>
      </c>
      <c r="X38" s="13">
        <v>30381</v>
      </c>
      <c r="Y38" s="13">
        <v>1473</v>
      </c>
      <c r="Z38" s="13">
        <v>320</v>
      </c>
      <c r="AA38" s="13">
        <v>327.7</v>
      </c>
      <c r="AB38" s="13" t="s">
        <v>96</v>
      </c>
      <c r="AC38" s="13" t="s">
        <v>97</v>
      </c>
      <c r="AD38" s="13" t="s">
        <v>98</v>
      </c>
      <c r="AE38" s="13">
        <v>55</v>
      </c>
      <c r="AF38" s="13">
        <v>78</v>
      </c>
      <c r="AG38" s="13">
        <v>100</v>
      </c>
      <c r="AH38" s="13" t="s">
        <v>109</v>
      </c>
      <c r="AI38" s="13" t="s">
        <v>100</v>
      </c>
      <c r="AJ38" s="13" t="s">
        <v>101</v>
      </c>
      <c r="AK38" s="13" t="s">
        <v>102</v>
      </c>
      <c r="AL38" s="13">
        <v>172.8</v>
      </c>
      <c r="AM38" s="13" t="s">
        <v>100</v>
      </c>
      <c r="AN38" s="13" t="s">
        <v>101</v>
      </c>
      <c r="AO38" s="13" t="s">
        <v>102</v>
      </c>
      <c r="AP38" s="13">
        <v>27.7</v>
      </c>
      <c r="AQ38" s="13">
        <v>49.88</v>
      </c>
      <c r="AR38" s="13">
        <v>15.5</v>
      </c>
      <c r="AS38" s="16">
        <f t="shared" si="2"/>
        <v>7.7314</v>
      </c>
      <c r="AT38" s="13">
        <v>40.5</v>
      </c>
      <c r="AU38" s="13">
        <v>212</v>
      </c>
      <c r="AV38" s="13">
        <v>520</v>
      </c>
      <c r="AW38" s="13">
        <v>62.4</v>
      </c>
      <c r="AX38" s="16">
        <f t="shared" si="3"/>
        <v>324.48</v>
      </c>
      <c r="AY38" s="16">
        <f t="shared" si="9"/>
        <v>106.332096</v>
      </c>
      <c r="AZ38" s="31">
        <v>4</v>
      </c>
      <c r="BA38" s="13">
        <v>0.5</v>
      </c>
      <c r="BB38" s="13">
        <v>2420</v>
      </c>
      <c r="BC38" s="13">
        <v>31.57</v>
      </c>
      <c r="BD38" s="13">
        <v>11.4</v>
      </c>
      <c r="BE38" s="16">
        <f t="shared" si="4"/>
        <v>3.59898</v>
      </c>
      <c r="BF38" s="13">
        <v>41.7</v>
      </c>
      <c r="BG38" s="13">
        <v>111</v>
      </c>
      <c r="BH38" s="31">
        <v>62.7</v>
      </c>
      <c r="BI38" s="13">
        <v>110.6</v>
      </c>
      <c r="BJ38" s="31">
        <v>5370.8</v>
      </c>
      <c r="BK38" s="31">
        <v>1760</v>
      </c>
      <c r="BL38" s="31">
        <v>13.2</v>
      </c>
      <c r="BM38" s="13">
        <v>537242</v>
      </c>
      <c r="BN38" s="31">
        <v>98.7</v>
      </c>
      <c r="BO38" s="13" t="s">
        <v>103</v>
      </c>
      <c r="BP38" s="16">
        <f t="shared" si="5"/>
        <v>28.908</v>
      </c>
      <c r="BQ38" s="16">
        <f t="shared" si="6"/>
        <v>55.0477401526474</v>
      </c>
      <c r="BR38" s="16">
        <f t="shared" si="10"/>
        <v>47.576028502767</v>
      </c>
      <c r="BS38" s="102">
        <f t="shared" si="11"/>
        <v>47.6415094339623</v>
      </c>
      <c r="BT38" s="13" t="s">
        <v>102</v>
      </c>
      <c r="BU38" s="13" t="s">
        <v>105</v>
      </c>
      <c r="BV38" s="12">
        <v>45758</v>
      </c>
      <c r="BW38" s="13" t="s">
        <v>105</v>
      </c>
      <c r="BX38" s="31">
        <v>10</v>
      </c>
      <c r="BY38" s="13" t="s">
        <v>103</v>
      </c>
      <c r="BZ38" s="13" t="s">
        <v>103</v>
      </c>
      <c r="CA38" s="13" t="s">
        <v>103</v>
      </c>
    </row>
    <row r="39" spans="1:79">
      <c r="A39" s="12">
        <v>45758</v>
      </c>
      <c r="B39" s="13">
        <v>25040028</v>
      </c>
      <c r="C39" s="13"/>
      <c r="D39" s="13"/>
      <c r="E39" s="13">
        <v>1</v>
      </c>
      <c r="F39" s="13" t="s">
        <v>91</v>
      </c>
      <c r="G39" s="13">
        <v>41</v>
      </c>
      <c r="H39" s="13">
        <v>21</v>
      </c>
      <c r="I39" s="13" t="s">
        <v>124</v>
      </c>
      <c r="J39" s="13" t="s">
        <v>125</v>
      </c>
      <c r="K39" s="13" t="s">
        <v>94</v>
      </c>
      <c r="L39" s="13">
        <v>900</v>
      </c>
      <c r="M39" s="13">
        <v>4</v>
      </c>
      <c r="N39" s="13" t="s">
        <v>103</v>
      </c>
      <c r="O39" s="13">
        <v>80</v>
      </c>
      <c r="P39" s="31">
        <v>1.72</v>
      </c>
      <c r="Q39" s="16">
        <f t="shared" si="0"/>
        <v>27.0416441319632</v>
      </c>
      <c r="R39" s="13">
        <v>62.9</v>
      </c>
      <c r="S39" s="13" t="s">
        <v>95</v>
      </c>
      <c r="T39" s="13">
        <v>254</v>
      </c>
      <c r="U39" s="13">
        <v>5046</v>
      </c>
      <c r="V39" s="16">
        <f t="shared" si="7"/>
        <v>3</v>
      </c>
      <c r="W39" s="87">
        <f t="shared" si="8"/>
        <v>14396</v>
      </c>
      <c r="X39" s="13">
        <v>15138</v>
      </c>
      <c r="Y39" s="13">
        <v>742</v>
      </c>
      <c r="Z39" s="13">
        <v>238</v>
      </c>
      <c r="AA39" s="13">
        <v>240</v>
      </c>
      <c r="AB39" s="13" t="s">
        <v>96</v>
      </c>
      <c r="AC39" s="13" t="s">
        <v>121</v>
      </c>
      <c r="AD39" s="13" t="s">
        <v>122</v>
      </c>
      <c r="AE39" s="13">
        <v>55</v>
      </c>
      <c r="AF39" s="13">
        <v>65</v>
      </c>
      <c r="AG39" s="13">
        <v>75</v>
      </c>
      <c r="AH39" s="13" t="s">
        <v>99</v>
      </c>
      <c r="AI39" s="13" t="s">
        <v>100</v>
      </c>
      <c r="AJ39" s="13" t="s">
        <v>101</v>
      </c>
      <c r="AK39" s="13" t="s">
        <v>102</v>
      </c>
      <c r="AL39" s="13" t="s">
        <v>102</v>
      </c>
      <c r="AM39" s="13" t="s">
        <v>100</v>
      </c>
      <c r="AN39" s="13" t="s">
        <v>101</v>
      </c>
      <c r="AO39" s="13" t="s">
        <v>102</v>
      </c>
      <c r="AP39" s="13" t="s">
        <v>102</v>
      </c>
      <c r="AQ39" s="13">
        <v>46.16</v>
      </c>
      <c r="AR39" s="13">
        <v>20.9</v>
      </c>
      <c r="AS39" s="16">
        <f t="shared" si="2"/>
        <v>9.64744</v>
      </c>
      <c r="AT39" s="13">
        <v>44.4</v>
      </c>
      <c r="AU39" s="13">
        <v>215</v>
      </c>
      <c r="AV39" s="13">
        <v>552.8</v>
      </c>
      <c r="AW39" s="13">
        <v>69.7</v>
      </c>
      <c r="AX39" s="16">
        <f t="shared" si="3"/>
        <v>385.3016</v>
      </c>
      <c r="AY39" s="16">
        <f t="shared" si="9"/>
        <v>92.472384</v>
      </c>
      <c r="AZ39" s="31">
        <v>3</v>
      </c>
      <c r="BA39" s="13">
        <v>0.3</v>
      </c>
      <c r="BB39" s="13">
        <v>2440</v>
      </c>
      <c r="BC39" s="13">
        <v>39.28</v>
      </c>
      <c r="BD39" s="13">
        <v>13</v>
      </c>
      <c r="BE39" s="16">
        <f t="shared" si="4"/>
        <v>5.1064</v>
      </c>
      <c r="BF39" s="13">
        <v>46.5</v>
      </c>
      <c r="BG39" s="13">
        <v>147</v>
      </c>
      <c r="BH39" s="31">
        <v>59</v>
      </c>
      <c r="BI39" s="13">
        <v>77.7</v>
      </c>
      <c r="BJ39" s="31">
        <v>3116.1</v>
      </c>
      <c r="BK39" s="31">
        <v>747.8</v>
      </c>
      <c r="BL39" s="31">
        <v>11.8</v>
      </c>
      <c r="BM39" s="13">
        <v>530706</v>
      </c>
      <c r="BN39" s="31">
        <v>99.3</v>
      </c>
      <c r="BO39" s="13" t="s">
        <v>103</v>
      </c>
      <c r="BP39" s="16">
        <f t="shared" si="5"/>
        <v>14.396</v>
      </c>
      <c r="BQ39" s="16">
        <f t="shared" si="6"/>
        <v>66.8532621852988</v>
      </c>
      <c r="BR39" s="16">
        <f t="shared" si="10"/>
        <v>66.5821983103885</v>
      </c>
      <c r="BS39" s="102">
        <f t="shared" si="11"/>
        <v>31.6279069767442</v>
      </c>
      <c r="BT39" s="13" t="s">
        <v>102</v>
      </c>
      <c r="BU39" s="13" t="s">
        <v>105</v>
      </c>
      <c r="BV39" s="12">
        <v>45758</v>
      </c>
      <c r="BW39" s="13" t="s">
        <v>105</v>
      </c>
      <c r="BX39" s="31">
        <v>10</v>
      </c>
      <c r="BY39" s="13" t="s">
        <v>103</v>
      </c>
      <c r="BZ39" s="13" t="s">
        <v>103</v>
      </c>
      <c r="CA39" s="13" t="s">
        <v>103</v>
      </c>
    </row>
    <row r="40" spans="1:79">
      <c r="A40" s="12">
        <v>45758</v>
      </c>
      <c r="B40" s="13">
        <v>25040030</v>
      </c>
      <c r="C40" s="13"/>
      <c r="D40" s="13"/>
      <c r="E40" s="13">
        <v>1</v>
      </c>
      <c r="F40" s="13" t="s">
        <v>111</v>
      </c>
      <c r="G40" s="13">
        <v>44</v>
      </c>
      <c r="H40" s="13">
        <v>44</v>
      </c>
      <c r="I40" s="13" t="s">
        <v>92</v>
      </c>
      <c r="J40" s="13" t="s">
        <v>117</v>
      </c>
      <c r="K40" s="13" t="s">
        <v>118</v>
      </c>
      <c r="L40" s="13">
        <v>600</v>
      </c>
      <c r="M40" s="13">
        <v>7</v>
      </c>
      <c r="N40" s="13" t="s">
        <v>103</v>
      </c>
      <c r="O40" s="13">
        <v>61.5</v>
      </c>
      <c r="P40" s="31">
        <v>1.58</v>
      </c>
      <c r="Q40" s="16">
        <f t="shared" si="0"/>
        <v>24.6354750841211</v>
      </c>
      <c r="R40" s="13">
        <v>61.5</v>
      </c>
      <c r="S40" s="13" t="s">
        <v>95</v>
      </c>
      <c r="T40" s="13">
        <v>179</v>
      </c>
      <c r="U40" s="13">
        <v>3639</v>
      </c>
      <c r="V40" s="16">
        <f t="shared" si="7"/>
        <v>4.00027480076944</v>
      </c>
      <c r="W40" s="87">
        <f t="shared" si="8"/>
        <v>13843</v>
      </c>
      <c r="X40" s="13">
        <v>14557</v>
      </c>
      <c r="Y40" s="13">
        <v>714</v>
      </c>
      <c r="Z40" s="13">
        <v>164</v>
      </c>
      <c r="AA40" s="13">
        <v>157.4</v>
      </c>
      <c r="AB40" s="13" t="s">
        <v>96</v>
      </c>
      <c r="AC40" s="13" t="s">
        <v>121</v>
      </c>
      <c r="AD40" s="13" t="s">
        <v>98</v>
      </c>
      <c r="AE40" s="13">
        <v>90</v>
      </c>
      <c r="AF40" s="13">
        <v>90</v>
      </c>
      <c r="AG40" s="13">
        <v>90</v>
      </c>
      <c r="AH40" s="13" t="s">
        <v>99</v>
      </c>
      <c r="AI40" s="13" t="s">
        <v>100</v>
      </c>
      <c r="AJ40" s="13" t="s">
        <v>102</v>
      </c>
      <c r="AK40" s="13" t="s">
        <v>102</v>
      </c>
      <c r="AL40" s="13" t="s">
        <v>102</v>
      </c>
      <c r="AM40" s="13" t="s">
        <v>100</v>
      </c>
      <c r="AN40" s="13" t="s">
        <v>102</v>
      </c>
      <c r="AO40" s="13" t="s">
        <v>102</v>
      </c>
      <c r="AP40" s="13" t="s">
        <v>102</v>
      </c>
      <c r="AQ40" s="13">
        <v>1.59</v>
      </c>
      <c r="AR40" s="13">
        <v>67.9</v>
      </c>
      <c r="AS40" s="16">
        <f t="shared" si="2"/>
        <v>1.07961</v>
      </c>
      <c r="AT40" s="13">
        <v>39.4</v>
      </c>
      <c r="AU40" s="13">
        <v>106</v>
      </c>
      <c r="AV40" s="13">
        <v>120.83</v>
      </c>
      <c r="AW40" s="13">
        <v>52</v>
      </c>
      <c r="AX40" s="16">
        <f t="shared" si="3"/>
        <v>62.8316</v>
      </c>
      <c r="AY40" s="16">
        <f t="shared" si="9"/>
        <v>9.88969384</v>
      </c>
      <c r="AZ40" s="31">
        <v>2.2</v>
      </c>
      <c r="BA40" s="13">
        <v>0.2</v>
      </c>
      <c r="BB40" s="13">
        <v>1847</v>
      </c>
      <c r="BC40" s="13">
        <v>4.11</v>
      </c>
      <c r="BD40" s="13">
        <v>31</v>
      </c>
      <c r="BE40" s="16">
        <f t="shared" si="4"/>
        <v>1.2741</v>
      </c>
      <c r="BF40" s="13">
        <v>39.3</v>
      </c>
      <c r="BG40" s="13">
        <v>97</v>
      </c>
      <c r="BH40" s="31" t="s">
        <v>103</v>
      </c>
      <c r="BI40" s="13">
        <v>17.3</v>
      </c>
      <c r="BJ40" s="31">
        <v>1224.1</v>
      </c>
      <c r="BK40" s="31">
        <v>192.6</v>
      </c>
      <c r="BL40" s="31">
        <v>3.1</v>
      </c>
      <c r="BM40" s="13">
        <v>107888</v>
      </c>
      <c r="BN40" s="31">
        <v>99.4</v>
      </c>
      <c r="BO40" s="13" t="s">
        <v>103</v>
      </c>
      <c r="BP40" s="16">
        <f t="shared" si="5"/>
        <v>13.843</v>
      </c>
      <c r="BQ40" s="16">
        <f t="shared" si="6"/>
        <v>80.4229428366583</v>
      </c>
      <c r="BR40" s="16">
        <f t="shared" si="10"/>
        <v>66.1737474510801</v>
      </c>
      <c r="BS40" s="102">
        <f t="shared" si="11"/>
        <v>8.49056603773585</v>
      </c>
      <c r="BT40" s="13" t="s">
        <v>102</v>
      </c>
      <c r="BU40" s="13" t="s">
        <v>119</v>
      </c>
      <c r="BV40" s="12">
        <v>45761</v>
      </c>
      <c r="BW40" s="13" t="s">
        <v>119</v>
      </c>
      <c r="BX40" s="31">
        <v>3.1</v>
      </c>
      <c r="BY40" s="13" t="s">
        <v>103</v>
      </c>
      <c r="BZ40" s="13" t="s">
        <v>103</v>
      </c>
      <c r="CA40" s="13" t="s">
        <v>103</v>
      </c>
    </row>
    <row r="41" ht="13.5" customHeight="1" spans="1:79">
      <c r="A41" s="12">
        <v>45758</v>
      </c>
      <c r="B41" s="13">
        <v>25040031</v>
      </c>
      <c r="C41" s="13"/>
      <c r="D41" s="13"/>
      <c r="E41" s="13">
        <v>1</v>
      </c>
      <c r="F41" s="13" t="s">
        <v>91</v>
      </c>
      <c r="G41" s="13">
        <v>43</v>
      </c>
      <c r="H41" s="13">
        <v>43</v>
      </c>
      <c r="I41" s="13" t="s">
        <v>92</v>
      </c>
      <c r="J41" s="13" t="s">
        <v>117</v>
      </c>
      <c r="K41" s="13" t="s">
        <v>118</v>
      </c>
      <c r="L41" s="13">
        <v>1200</v>
      </c>
      <c r="M41" s="13">
        <v>7</v>
      </c>
      <c r="N41" s="13" t="s">
        <v>103</v>
      </c>
      <c r="O41" s="13">
        <v>129</v>
      </c>
      <c r="P41" s="31">
        <v>1.74</v>
      </c>
      <c r="Q41" s="16">
        <f t="shared" si="0"/>
        <v>42.6080063416568</v>
      </c>
      <c r="R41" s="13">
        <v>129</v>
      </c>
      <c r="S41" s="13" t="s">
        <v>95</v>
      </c>
      <c r="T41" s="13">
        <v>163</v>
      </c>
      <c r="U41" s="13">
        <v>6688</v>
      </c>
      <c r="V41" s="16">
        <f t="shared" si="7"/>
        <v>2.0004485645933</v>
      </c>
      <c r="W41" s="87">
        <f t="shared" si="8"/>
        <v>12718</v>
      </c>
      <c r="X41" s="13">
        <v>13379</v>
      </c>
      <c r="Y41" s="13">
        <v>661</v>
      </c>
      <c r="Z41" s="13">
        <v>146</v>
      </c>
      <c r="AA41" s="13">
        <v>155.6</v>
      </c>
      <c r="AB41" s="13" t="s">
        <v>96</v>
      </c>
      <c r="AC41" s="13" t="s">
        <v>108</v>
      </c>
      <c r="AD41" s="13" t="s">
        <v>98</v>
      </c>
      <c r="AE41" s="13">
        <v>85</v>
      </c>
      <c r="AF41" s="13">
        <v>90</v>
      </c>
      <c r="AG41" s="13">
        <v>95</v>
      </c>
      <c r="AH41" s="13" t="s">
        <v>99</v>
      </c>
      <c r="AI41" s="13" t="s">
        <v>136</v>
      </c>
      <c r="AJ41" s="13" t="s">
        <v>101</v>
      </c>
      <c r="AK41" s="13" t="s">
        <v>102</v>
      </c>
      <c r="AL41" s="13">
        <v>118.8</v>
      </c>
      <c r="AM41" s="13" t="s">
        <v>136</v>
      </c>
      <c r="AN41" s="13" t="s">
        <v>102</v>
      </c>
      <c r="AO41" s="13" t="s">
        <v>102</v>
      </c>
      <c r="AP41" s="13">
        <v>118.8</v>
      </c>
      <c r="AQ41" s="13">
        <v>24.69</v>
      </c>
      <c r="AR41" s="13">
        <v>47.1</v>
      </c>
      <c r="AS41" s="16">
        <f t="shared" si="2"/>
        <v>11.62899</v>
      </c>
      <c r="AT41" s="13">
        <v>40.2</v>
      </c>
      <c r="AU41" s="13">
        <v>156</v>
      </c>
      <c r="AV41" s="13">
        <v>59.69</v>
      </c>
      <c r="AW41" s="13">
        <v>51.4</v>
      </c>
      <c r="AX41" s="16">
        <f t="shared" si="3"/>
        <v>30.68066</v>
      </c>
      <c r="AY41" s="16">
        <f t="shared" si="9"/>
        <v>4.773910696</v>
      </c>
      <c r="AZ41" s="31">
        <v>0.4</v>
      </c>
      <c r="BA41" s="13">
        <v>0.05</v>
      </c>
      <c r="BB41" s="13">
        <v>264</v>
      </c>
      <c r="BC41" s="13">
        <v>22.75</v>
      </c>
      <c r="BD41" s="13">
        <v>12.7</v>
      </c>
      <c r="BE41" s="16">
        <f t="shared" si="4"/>
        <v>2.88925</v>
      </c>
      <c r="BF41" s="13">
        <v>41.9</v>
      </c>
      <c r="BG41" s="13">
        <v>139</v>
      </c>
      <c r="BH41" s="31" t="s">
        <v>103</v>
      </c>
      <c r="BI41" s="13">
        <v>157.2</v>
      </c>
      <c r="BJ41" s="31">
        <v>6320.2</v>
      </c>
      <c r="BK41" s="31">
        <v>983.4</v>
      </c>
      <c r="BL41" s="31">
        <v>7.6</v>
      </c>
      <c r="BM41" s="13">
        <v>526206</v>
      </c>
      <c r="BN41" s="31">
        <v>98.8</v>
      </c>
      <c r="BO41" s="13" t="s">
        <v>103</v>
      </c>
      <c r="BP41" s="16">
        <f t="shared" si="5"/>
        <v>12.718</v>
      </c>
      <c r="BQ41" s="16">
        <f t="shared" si="6"/>
        <v>49.1879634442498</v>
      </c>
      <c r="BR41" s="16">
        <f t="shared" si="10"/>
        <v>3.2278509529929</v>
      </c>
      <c r="BS41" s="102">
        <f t="shared" si="11"/>
        <v>10.8974358974359</v>
      </c>
      <c r="BT41" s="13" t="s">
        <v>102</v>
      </c>
      <c r="BU41" s="13" t="s">
        <v>119</v>
      </c>
      <c r="BV41" s="12">
        <v>45761</v>
      </c>
      <c r="BW41" s="13" t="s">
        <v>119</v>
      </c>
      <c r="BX41" s="31">
        <v>7.6</v>
      </c>
      <c r="BY41" s="13" t="s">
        <v>103</v>
      </c>
      <c r="BZ41" s="13" t="s">
        <v>103</v>
      </c>
      <c r="CA41" s="13" t="s">
        <v>103</v>
      </c>
    </row>
    <row r="42" spans="1:79">
      <c r="A42" s="12">
        <v>45759</v>
      </c>
      <c r="B42" s="13">
        <v>25040032</v>
      </c>
      <c r="C42" s="13"/>
      <c r="D42" s="13"/>
      <c r="E42" s="13">
        <v>1</v>
      </c>
      <c r="F42" s="13" t="s">
        <v>111</v>
      </c>
      <c r="G42" s="13">
        <v>51</v>
      </c>
      <c r="H42" s="13">
        <v>51</v>
      </c>
      <c r="I42" s="13" t="s">
        <v>92</v>
      </c>
      <c r="J42" s="13" t="s">
        <v>117</v>
      </c>
      <c r="K42" s="13" t="s">
        <v>118</v>
      </c>
      <c r="L42" s="13">
        <v>600</v>
      </c>
      <c r="M42" s="13">
        <v>7</v>
      </c>
      <c r="N42" s="13" t="s">
        <v>103</v>
      </c>
      <c r="O42" s="13">
        <v>62</v>
      </c>
      <c r="P42" s="31">
        <v>1.72</v>
      </c>
      <c r="Q42" s="16">
        <f t="shared" si="0"/>
        <v>20.9572742022715</v>
      </c>
      <c r="R42" s="13">
        <v>62</v>
      </c>
      <c r="S42" s="13" t="s">
        <v>95</v>
      </c>
      <c r="T42" s="13">
        <v>125</v>
      </c>
      <c r="U42" s="13">
        <v>4046</v>
      </c>
      <c r="V42" s="16">
        <f t="shared" si="7"/>
        <v>2.5002471576866</v>
      </c>
      <c r="W42" s="87">
        <f t="shared" si="8"/>
        <v>9604</v>
      </c>
      <c r="X42" s="13">
        <v>10116</v>
      </c>
      <c r="Y42" s="13">
        <v>512</v>
      </c>
      <c r="Z42" s="13">
        <v>105</v>
      </c>
      <c r="AA42" s="13">
        <v>103.2</v>
      </c>
      <c r="AB42" s="13" t="s">
        <v>96</v>
      </c>
      <c r="AC42" s="13" t="s">
        <v>97</v>
      </c>
      <c r="AD42" s="13" t="s">
        <v>98</v>
      </c>
      <c r="AE42" s="13">
        <v>80</v>
      </c>
      <c r="AF42" s="13">
        <v>85</v>
      </c>
      <c r="AG42" s="13">
        <v>90</v>
      </c>
      <c r="AH42" s="13" t="s">
        <v>99</v>
      </c>
      <c r="AI42" s="13" t="s">
        <v>100</v>
      </c>
      <c r="AJ42" s="13" t="s">
        <v>101</v>
      </c>
      <c r="AK42" s="13" t="s">
        <v>102</v>
      </c>
      <c r="AL42" s="13">
        <v>78.3</v>
      </c>
      <c r="AM42" s="13" t="s">
        <v>100</v>
      </c>
      <c r="AN42" s="13" t="s">
        <v>101</v>
      </c>
      <c r="AO42" s="13" t="s">
        <v>102</v>
      </c>
      <c r="AP42" s="13">
        <v>78.3</v>
      </c>
      <c r="AQ42" s="13">
        <v>6.75</v>
      </c>
      <c r="AR42" s="13">
        <v>14.3</v>
      </c>
      <c r="AS42" s="16">
        <f t="shared" si="2"/>
        <v>0.96525</v>
      </c>
      <c r="AT42" s="13">
        <v>37.9</v>
      </c>
      <c r="AU42" s="13">
        <v>124</v>
      </c>
      <c r="AV42" s="13">
        <v>172.52</v>
      </c>
      <c r="AW42" s="13">
        <v>43.3</v>
      </c>
      <c r="AX42" s="16">
        <f t="shared" si="3"/>
        <v>74.70116</v>
      </c>
      <c r="AY42" s="16">
        <f t="shared" si="9"/>
        <v>7.709159712</v>
      </c>
      <c r="AZ42" s="31">
        <v>3.4</v>
      </c>
      <c r="BA42" s="13">
        <v>0.35</v>
      </c>
      <c r="BB42" s="13">
        <v>1605</v>
      </c>
      <c r="BC42" s="13">
        <v>8.09</v>
      </c>
      <c r="BD42" s="13">
        <v>17.4</v>
      </c>
      <c r="BE42" s="16">
        <f t="shared" si="4"/>
        <v>1.40766</v>
      </c>
      <c r="BF42" s="13">
        <v>35.5</v>
      </c>
      <c r="BG42" s="13">
        <v>93</v>
      </c>
      <c r="BH42" s="31" t="s">
        <v>103</v>
      </c>
      <c r="BI42" s="13">
        <v>97.5</v>
      </c>
      <c r="BJ42" s="31">
        <v>7055.4</v>
      </c>
      <c r="BK42" s="31">
        <v>728.1</v>
      </c>
      <c r="BL42" s="31">
        <v>11.7</v>
      </c>
      <c r="BM42" s="13">
        <v>201217</v>
      </c>
      <c r="BN42" s="31">
        <v>99.1</v>
      </c>
      <c r="BO42" s="13" t="s">
        <v>103</v>
      </c>
      <c r="BP42" s="16">
        <f t="shared" si="5"/>
        <v>9.604</v>
      </c>
      <c r="BQ42" s="16">
        <f t="shared" si="6"/>
        <v>77.7560631788037</v>
      </c>
      <c r="BR42" s="16">
        <f t="shared" si="10"/>
        <v>83.1601150388322</v>
      </c>
      <c r="BS42" s="102">
        <f t="shared" si="11"/>
        <v>25</v>
      </c>
      <c r="BT42" s="13" t="s">
        <v>102</v>
      </c>
      <c r="BU42" s="13" t="s">
        <v>119</v>
      </c>
      <c r="BV42" s="12">
        <v>45761</v>
      </c>
      <c r="BW42" s="13" t="s">
        <v>119</v>
      </c>
      <c r="BX42" s="31">
        <v>11.7</v>
      </c>
      <c r="BY42" s="13" t="s">
        <v>103</v>
      </c>
      <c r="BZ42" s="13" t="s">
        <v>103</v>
      </c>
      <c r="CA42" s="13" t="s">
        <v>103</v>
      </c>
    </row>
    <row r="43" spans="1:79">
      <c r="A43" s="12">
        <v>45771</v>
      </c>
      <c r="B43" s="13">
        <v>25040039</v>
      </c>
      <c r="C43" s="13"/>
      <c r="D43" s="13"/>
      <c r="E43" s="13">
        <v>1</v>
      </c>
      <c r="F43" s="13" t="s">
        <v>91</v>
      </c>
      <c r="G43" s="13">
        <v>12</v>
      </c>
      <c r="H43" s="13">
        <v>10</v>
      </c>
      <c r="I43" s="13" t="s">
        <v>124</v>
      </c>
      <c r="J43" s="13" t="s">
        <v>125</v>
      </c>
      <c r="K43" s="13" t="s">
        <v>135</v>
      </c>
      <c r="L43" s="13">
        <v>300</v>
      </c>
      <c r="M43" s="13">
        <v>4</v>
      </c>
      <c r="N43" s="13" t="s">
        <v>103</v>
      </c>
      <c r="O43" s="13">
        <v>33</v>
      </c>
      <c r="P43" s="31">
        <v>1.43</v>
      </c>
      <c r="Q43" s="16">
        <f t="shared" si="0"/>
        <v>16.1377084454008</v>
      </c>
      <c r="R43" s="13">
        <v>25.5</v>
      </c>
      <c r="S43" s="13" t="s">
        <v>95</v>
      </c>
      <c r="T43" s="13">
        <v>259</v>
      </c>
      <c r="U43" s="13">
        <v>2739</v>
      </c>
      <c r="V43" s="16">
        <f t="shared" si="7"/>
        <v>5</v>
      </c>
      <c r="W43" s="87">
        <f t="shared" si="8"/>
        <v>13020</v>
      </c>
      <c r="X43" s="13">
        <v>13695</v>
      </c>
      <c r="Y43" s="13">
        <v>675</v>
      </c>
      <c r="Z43" s="13">
        <v>243</v>
      </c>
      <c r="AA43" s="13">
        <v>248.3</v>
      </c>
      <c r="AB43" s="13" t="s">
        <v>96</v>
      </c>
      <c r="AC43" s="13" t="s">
        <v>97</v>
      </c>
      <c r="AD43" s="13" t="s">
        <v>98</v>
      </c>
      <c r="AE43" s="13">
        <v>40</v>
      </c>
      <c r="AF43" s="13">
        <v>50</v>
      </c>
      <c r="AG43" s="13">
        <v>60</v>
      </c>
      <c r="AH43" s="13" t="s">
        <v>99</v>
      </c>
      <c r="AI43" s="13" t="s">
        <v>100</v>
      </c>
      <c r="AJ43" s="13" t="s">
        <v>101</v>
      </c>
      <c r="AK43" s="13" t="s">
        <v>102</v>
      </c>
      <c r="AL43" s="13">
        <v>218.2</v>
      </c>
      <c r="AM43" s="13" t="s">
        <v>100</v>
      </c>
      <c r="AN43" s="13" t="s">
        <v>101</v>
      </c>
      <c r="AO43" s="13" t="s">
        <v>102</v>
      </c>
      <c r="AP43" s="13">
        <v>95</v>
      </c>
      <c r="AQ43" s="13">
        <v>28.12</v>
      </c>
      <c r="AR43" s="13">
        <v>26.7</v>
      </c>
      <c r="AS43" s="16">
        <f t="shared" si="2"/>
        <v>7.50804</v>
      </c>
      <c r="AT43" s="13">
        <v>36.9</v>
      </c>
      <c r="AU43" s="13">
        <v>198</v>
      </c>
      <c r="AV43" s="13">
        <v>218.36</v>
      </c>
      <c r="AW43" s="13">
        <v>94.2</v>
      </c>
      <c r="AX43" s="16">
        <f t="shared" si="3"/>
        <v>205.69512</v>
      </c>
      <c r="AY43" s="16">
        <f t="shared" si="9"/>
        <v>51.074098296</v>
      </c>
      <c r="AZ43" s="31">
        <v>2</v>
      </c>
      <c r="BA43" s="13">
        <v>0.2</v>
      </c>
      <c r="BB43" s="13">
        <v>1558</v>
      </c>
      <c r="BC43" s="13">
        <v>21.74</v>
      </c>
      <c r="BD43" s="13">
        <v>19.9</v>
      </c>
      <c r="BE43" s="16">
        <f t="shared" si="4"/>
        <v>4.32626</v>
      </c>
      <c r="BF43" s="13">
        <v>39.2</v>
      </c>
      <c r="BG43" s="13">
        <v>103</v>
      </c>
      <c r="BH43" s="31">
        <v>17.7</v>
      </c>
      <c r="BI43" s="13">
        <v>32.7</v>
      </c>
      <c r="BJ43" s="31">
        <v>942.9</v>
      </c>
      <c r="BK43" s="31">
        <v>234.1</v>
      </c>
      <c r="BL43" s="31">
        <v>9.1</v>
      </c>
      <c r="BM43" s="13">
        <v>239334</v>
      </c>
      <c r="BN43" s="31">
        <v>99.3</v>
      </c>
      <c r="BO43" s="13" t="s">
        <v>103</v>
      </c>
      <c r="BP43" s="16">
        <f t="shared" si="5"/>
        <v>13.02</v>
      </c>
      <c r="BQ43" s="16">
        <f t="shared" si="6"/>
        <v>54.9848034310893</v>
      </c>
      <c r="BR43" s="16">
        <f t="shared" si="10"/>
        <v>52.2472150469137</v>
      </c>
      <c r="BS43" s="102">
        <f t="shared" si="11"/>
        <v>47.979797979798</v>
      </c>
      <c r="BT43" s="13" t="s">
        <v>102</v>
      </c>
      <c r="BU43" s="13" t="s">
        <v>105</v>
      </c>
      <c r="BV43" s="12">
        <v>45772</v>
      </c>
      <c r="BW43" s="13" t="s">
        <v>105</v>
      </c>
      <c r="BX43" s="31">
        <v>9.1</v>
      </c>
      <c r="BY43" s="13" t="s">
        <v>103</v>
      </c>
      <c r="BZ43" s="13" t="s">
        <v>103</v>
      </c>
      <c r="CA43" s="13" t="s">
        <v>103</v>
      </c>
    </row>
    <row r="44" spans="1:79">
      <c r="A44" s="12">
        <v>45777</v>
      </c>
      <c r="B44" s="13">
        <v>25040044</v>
      </c>
      <c r="C44" s="13"/>
      <c r="D44" s="13"/>
      <c r="E44" s="13">
        <v>1</v>
      </c>
      <c r="F44" s="13" t="s">
        <v>111</v>
      </c>
      <c r="G44" s="13">
        <v>35</v>
      </c>
      <c r="H44" s="13">
        <v>41</v>
      </c>
      <c r="I44" s="13" t="s">
        <v>120</v>
      </c>
      <c r="J44" s="13" t="s">
        <v>112</v>
      </c>
      <c r="K44" s="13" t="s">
        <v>94</v>
      </c>
      <c r="L44" s="13">
        <v>600</v>
      </c>
      <c r="M44" s="13">
        <v>4</v>
      </c>
      <c r="N44" s="13" t="s">
        <v>103</v>
      </c>
      <c r="O44" s="13">
        <v>48</v>
      </c>
      <c r="P44" s="31">
        <v>1.42</v>
      </c>
      <c r="Q44" s="16">
        <f t="shared" si="0"/>
        <v>23.8048006347947</v>
      </c>
      <c r="R44" s="13">
        <v>64</v>
      </c>
      <c r="S44" s="13" t="s">
        <v>95</v>
      </c>
      <c r="T44" s="13">
        <v>174</v>
      </c>
      <c r="U44" s="13">
        <v>2791</v>
      </c>
      <c r="V44" s="16">
        <f t="shared" si="7"/>
        <v>4.00035829451809</v>
      </c>
      <c r="W44" s="87">
        <f t="shared" si="8"/>
        <v>10609</v>
      </c>
      <c r="X44" s="13">
        <v>11165</v>
      </c>
      <c r="Y44" s="13">
        <v>556</v>
      </c>
      <c r="Z44" s="13">
        <v>152</v>
      </c>
      <c r="AA44" s="13">
        <v>144.9</v>
      </c>
      <c r="AB44" s="13" t="s">
        <v>96</v>
      </c>
      <c r="AC44" s="13" t="s">
        <v>97</v>
      </c>
      <c r="AD44" s="13" t="s">
        <v>98</v>
      </c>
      <c r="AE44" s="13">
        <v>70</v>
      </c>
      <c r="AF44" s="13">
        <v>72</v>
      </c>
      <c r="AG44" s="13">
        <v>70</v>
      </c>
      <c r="AH44" s="13" t="s">
        <v>145</v>
      </c>
      <c r="AI44" s="13" t="s">
        <v>100</v>
      </c>
      <c r="AJ44" s="13" t="s">
        <v>101</v>
      </c>
      <c r="AK44" s="13" t="s">
        <v>102</v>
      </c>
      <c r="AL44" s="13">
        <v>92.3</v>
      </c>
      <c r="AM44" s="13" t="s">
        <v>100</v>
      </c>
      <c r="AN44" s="13" t="s">
        <v>101</v>
      </c>
      <c r="AO44" s="13" t="s">
        <v>102</v>
      </c>
      <c r="AP44" s="13" t="s">
        <v>102</v>
      </c>
      <c r="AQ44" s="13">
        <v>75.4</v>
      </c>
      <c r="AR44" s="13">
        <v>11.4</v>
      </c>
      <c r="AS44" s="16">
        <f t="shared" si="2"/>
        <v>8.5956</v>
      </c>
      <c r="AT44" s="13">
        <v>38.6</v>
      </c>
      <c r="AU44" s="13">
        <v>260</v>
      </c>
      <c r="AV44" s="13">
        <v>580</v>
      </c>
      <c r="AW44" s="13">
        <v>54.5</v>
      </c>
      <c r="AX44" s="16">
        <f t="shared" si="3"/>
        <v>316.1</v>
      </c>
      <c r="AY44" s="16">
        <f t="shared" si="9"/>
        <v>45.80289</v>
      </c>
      <c r="AZ44" s="31">
        <v>4</v>
      </c>
      <c r="BA44" s="13">
        <v>0.3</v>
      </c>
      <c r="BB44" s="13">
        <v>2770</v>
      </c>
      <c r="BC44" s="13">
        <v>56.4</v>
      </c>
      <c r="BD44" s="13">
        <v>8</v>
      </c>
      <c r="BE44" s="16">
        <f t="shared" si="4"/>
        <v>4.512</v>
      </c>
      <c r="BF44" s="13">
        <v>37.8</v>
      </c>
      <c r="BG44" s="13">
        <v>142</v>
      </c>
      <c r="BH44" s="31">
        <v>85.9</v>
      </c>
      <c r="BI44" s="13">
        <v>129.2</v>
      </c>
      <c r="BJ44" s="31">
        <v>4915.3</v>
      </c>
      <c r="BK44" s="31">
        <v>712.2</v>
      </c>
      <c r="BL44" s="31">
        <v>11.1</v>
      </c>
      <c r="BM44" s="13">
        <v>583663</v>
      </c>
      <c r="BN44" s="31">
        <v>98.4</v>
      </c>
      <c r="BO44" s="13" t="s">
        <v>103</v>
      </c>
      <c r="BP44" s="16">
        <f t="shared" si="5"/>
        <v>10.609</v>
      </c>
      <c r="BQ44" s="16">
        <f t="shared" si="6"/>
        <v>51.9595051459025</v>
      </c>
      <c r="BR44" s="16">
        <f t="shared" si="10"/>
        <v>50.2275777613004</v>
      </c>
      <c r="BS44" s="102">
        <f t="shared" si="11"/>
        <v>45.3846153846154</v>
      </c>
      <c r="BT44" s="13" t="s">
        <v>102</v>
      </c>
      <c r="BU44" s="13" t="s">
        <v>105</v>
      </c>
      <c r="BV44" s="12">
        <v>45778</v>
      </c>
      <c r="BW44" s="13" t="s">
        <v>105</v>
      </c>
      <c r="BX44" s="31">
        <v>8</v>
      </c>
      <c r="BY44" s="13" t="s">
        <v>103</v>
      </c>
      <c r="BZ44" s="13" t="s">
        <v>103</v>
      </c>
      <c r="CA44" s="13" t="s">
        <v>103</v>
      </c>
    </row>
    <row r="45" spans="1:79">
      <c r="A45" s="12">
        <v>45786</v>
      </c>
      <c r="B45" s="13">
        <v>25050017</v>
      </c>
      <c r="C45" s="13"/>
      <c r="D45" s="13"/>
      <c r="E45" s="13">
        <v>1</v>
      </c>
      <c r="F45" s="13" t="s">
        <v>91</v>
      </c>
      <c r="G45" s="13">
        <v>31</v>
      </c>
      <c r="H45" s="13">
        <v>59</v>
      </c>
      <c r="I45" s="13" t="s">
        <v>124</v>
      </c>
      <c r="J45" s="13" t="s">
        <v>125</v>
      </c>
      <c r="K45" s="13" t="s">
        <v>94</v>
      </c>
      <c r="L45" s="13">
        <v>900</v>
      </c>
      <c r="M45" s="13">
        <v>4</v>
      </c>
      <c r="N45" s="13" t="s">
        <v>103</v>
      </c>
      <c r="O45" s="13">
        <v>92</v>
      </c>
      <c r="P45" s="31">
        <v>1.67</v>
      </c>
      <c r="Q45" s="16">
        <f t="shared" si="0"/>
        <v>32.9879163828033</v>
      </c>
      <c r="R45" s="13">
        <v>59</v>
      </c>
      <c r="S45" s="13" t="s">
        <v>95</v>
      </c>
      <c r="T45" s="13">
        <v>237</v>
      </c>
      <c r="U45" s="13">
        <v>5274</v>
      </c>
      <c r="V45" s="16">
        <f t="shared" si="7"/>
        <v>2.50018960940463</v>
      </c>
      <c r="W45" s="87">
        <f t="shared" si="8"/>
        <v>12535</v>
      </c>
      <c r="X45" s="13">
        <v>13186</v>
      </c>
      <c r="Y45" s="13">
        <v>651</v>
      </c>
      <c r="Z45" s="13">
        <v>223</v>
      </c>
      <c r="AA45" s="13">
        <v>229.3</v>
      </c>
      <c r="AB45" s="13" t="s">
        <v>96</v>
      </c>
      <c r="AC45" s="13" t="s">
        <v>97</v>
      </c>
      <c r="AD45" s="13" t="s">
        <v>122</v>
      </c>
      <c r="AE45" s="13">
        <v>50</v>
      </c>
      <c r="AF45" s="13">
        <v>58.5</v>
      </c>
      <c r="AG45" s="13">
        <v>67</v>
      </c>
      <c r="AH45" s="13" t="s">
        <v>99</v>
      </c>
      <c r="AI45" s="13" t="s">
        <v>100</v>
      </c>
      <c r="AJ45" s="13" t="s">
        <v>101</v>
      </c>
      <c r="AK45" s="13" t="s">
        <v>102</v>
      </c>
      <c r="AL45" s="13">
        <v>217.9</v>
      </c>
      <c r="AM45" s="13" t="s">
        <v>100</v>
      </c>
      <c r="AN45" s="13" t="s">
        <v>101</v>
      </c>
      <c r="AO45" s="13" t="s">
        <v>102</v>
      </c>
      <c r="AP45" s="13">
        <v>181.7</v>
      </c>
      <c r="AQ45" s="13">
        <v>56.17</v>
      </c>
      <c r="AR45" s="13">
        <v>18.6</v>
      </c>
      <c r="AS45" s="16">
        <f t="shared" si="2"/>
        <v>10.44762</v>
      </c>
      <c r="AT45" s="13">
        <v>46.1</v>
      </c>
      <c r="AU45" s="13">
        <v>208</v>
      </c>
      <c r="AV45" s="13">
        <v>540.7</v>
      </c>
      <c r="AW45" s="13">
        <v>69.9</v>
      </c>
      <c r="AX45" s="16">
        <f t="shared" si="3"/>
        <v>377.9493</v>
      </c>
      <c r="AY45" s="16">
        <f t="shared" si="9"/>
        <v>86.66377449</v>
      </c>
      <c r="AZ45" s="31">
        <v>4</v>
      </c>
      <c r="BA45" s="13">
        <v>0.4</v>
      </c>
      <c r="BB45" s="13">
        <v>2070</v>
      </c>
      <c r="BC45" s="13">
        <v>41.56</v>
      </c>
      <c r="BD45" s="13">
        <v>13.1</v>
      </c>
      <c r="BE45" s="16">
        <f t="shared" si="4"/>
        <v>5.44436</v>
      </c>
      <c r="BF45" s="13">
        <v>44</v>
      </c>
      <c r="BG45" s="13">
        <v>123</v>
      </c>
      <c r="BH45" s="31">
        <v>83.8</v>
      </c>
      <c r="BI45" s="13">
        <v>124</v>
      </c>
      <c r="BJ45" s="31">
        <v>4737.1</v>
      </c>
      <c r="BK45" s="31">
        <v>1086.2</v>
      </c>
      <c r="BL45" s="31">
        <v>18.4</v>
      </c>
      <c r="BM45" s="13">
        <v>530009</v>
      </c>
      <c r="BN45" s="31">
        <v>99.4</v>
      </c>
      <c r="BO45" s="13" t="s">
        <v>103</v>
      </c>
      <c r="BP45" s="16">
        <f t="shared" si="5"/>
        <v>12.535</v>
      </c>
      <c r="BQ45" s="16">
        <f t="shared" si="6"/>
        <v>69.8817504535687</v>
      </c>
      <c r="BR45" s="16">
        <f t="shared" si="10"/>
        <v>66.1752961675779</v>
      </c>
      <c r="BS45" s="102">
        <f t="shared" si="11"/>
        <v>40.8653846153846</v>
      </c>
      <c r="BT45" s="13" t="s">
        <v>102</v>
      </c>
      <c r="BU45" s="13" t="s">
        <v>105</v>
      </c>
      <c r="BV45" s="12">
        <v>45787</v>
      </c>
      <c r="BW45" s="13" t="s">
        <v>105</v>
      </c>
      <c r="BX45" s="31">
        <v>10</v>
      </c>
      <c r="BY45" s="13" t="s">
        <v>103</v>
      </c>
      <c r="BZ45" s="13" t="s">
        <v>103</v>
      </c>
      <c r="CA45" s="13" t="s">
        <v>103</v>
      </c>
    </row>
    <row r="46" spans="1:79">
      <c r="A46" s="12">
        <v>45793</v>
      </c>
      <c r="B46" s="13">
        <v>25050023</v>
      </c>
      <c r="C46" s="13"/>
      <c r="D46" s="13"/>
      <c r="E46" s="13">
        <v>1</v>
      </c>
      <c r="F46" s="13" t="s">
        <v>111</v>
      </c>
      <c r="G46" s="13">
        <v>43</v>
      </c>
      <c r="H46" s="13">
        <v>43</v>
      </c>
      <c r="I46" s="13" t="s">
        <v>92</v>
      </c>
      <c r="J46" s="13" t="s">
        <v>146</v>
      </c>
      <c r="K46" s="13" t="s">
        <v>118</v>
      </c>
      <c r="L46" s="13">
        <v>600</v>
      </c>
      <c r="M46" s="13">
        <v>7</v>
      </c>
      <c r="N46" s="13" t="s">
        <v>103</v>
      </c>
      <c r="O46" s="13">
        <v>68.5</v>
      </c>
      <c r="P46" s="31">
        <v>1.62</v>
      </c>
      <c r="Q46" s="16">
        <f t="shared" si="0"/>
        <v>26.1012040847432</v>
      </c>
      <c r="R46" s="13">
        <v>68.5</v>
      </c>
      <c r="S46" s="13" t="s">
        <v>95</v>
      </c>
      <c r="T46" s="13">
        <v>110</v>
      </c>
      <c r="U46" s="13">
        <v>3980</v>
      </c>
      <c r="V46" s="16">
        <f t="shared" si="7"/>
        <v>2</v>
      </c>
      <c r="W46" s="87">
        <f t="shared" si="8"/>
        <v>7558</v>
      </c>
      <c r="X46" s="13">
        <v>7960</v>
      </c>
      <c r="Y46" s="13">
        <v>402</v>
      </c>
      <c r="Z46" s="13">
        <v>90</v>
      </c>
      <c r="AA46" s="13">
        <v>88.2</v>
      </c>
      <c r="AB46" s="13" t="s">
        <v>96</v>
      </c>
      <c r="AC46" s="13" t="s">
        <v>97</v>
      </c>
      <c r="AD46" s="13" t="s">
        <v>98</v>
      </c>
      <c r="AE46" s="13">
        <v>80</v>
      </c>
      <c r="AF46" s="13">
        <v>80</v>
      </c>
      <c r="AG46" s="13">
        <v>80</v>
      </c>
      <c r="AH46" s="13" t="s">
        <v>99</v>
      </c>
      <c r="AI46" s="13" t="s">
        <v>100</v>
      </c>
      <c r="AJ46" s="13" t="s">
        <v>101</v>
      </c>
      <c r="AK46" s="13" t="s">
        <v>102</v>
      </c>
      <c r="AL46" s="13" t="s">
        <v>102</v>
      </c>
      <c r="AM46" s="13" t="s">
        <v>100</v>
      </c>
      <c r="AN46" s="13" t="s">
        <v>101</v>
      </c>
      <c r="AO46" s="13" t="s">
        <v>102</v>
      </c>
      <c r="AP46" s="13" t="s">
        <v>102</v>
      </c>
      <c r="AQ46" s="13">
        <v>14.26</v>
      </c>
      <c r="AR46" s="13">
        <v>28.5</v>
      </c>
      <c r="AS46" s="16">
        <f t="shared" si="2"/>
        <v>4.0641</v>
      </c>
      <c r="AT46" s="13">
        <v>33.1</v>
      </c>
      <c r="AU46" s="13">
        <v>217</v>
      </c>
      <c r="AV46" s="13">
        <v>231.66</v>
      </c>
      <c r="AW46" s="13">
        <v>59.5</v>
      </c>
      <c r="AX46" s="16">
        <f t="shared" si="3"/>
        <v>137.8377</v>
      </c>
      <c r="AY46" s="16">
        <f t="shared" si="9"/>
        <v>12.15728514</v>
      </c>
      <c r="AZ46" s="31">
        <v>2.2</v>
      </c>
      <c r="BA46" s="13">
        <v>0.15</v>
      </c>
      <c r="BB46" s="13">
        <v>3058</v>
      </c>
      <c r="BC46" s="13">
        <v>20.32</v>
      </c>
      <c r="BD46" s="13">
        <v>16.8</v>
      </c>
      <c r="BE46" s="16">
        <f t="shared" si="4"/>
        <v>3.41376</v>
      </c>
      <c r="BF46" s="13">
        <v>35.3</v>
      </c>
      <c r="BG46" s="13">
        <v>191</v>
      </c>
      <c r="BH46" s="31" t="s">
        <v>103</v>
      </c>
      <c r="BI46" s="13">
        <v>138</v>
      </c>
      <c r="BJ46" s="31">
        <v>5228.5</v>
      </c>
      <c r="BK46" s="31">
        <v>461.1</v>
      </c>
      <c r="BL46" s="31">
        <v>6.7</v>
      </c>
      <c r="BM46" s="13">
        <v>270137</v>
      </c>
      <c r="BN46" s="31">
        <v>99.2</v>
      </c>
      <c r="BO46" s="13" t="s">
        <v>103</v>
      </c>
      <c r="BP46" s="16">
        <f t="shared" si="5"/>
        <v>7.558</v>
      </c>
      <c r="BQ46" s="16">
        <f t="shared" si="6"/>
        <v>44.2088429191067</v>
      </c>
      <c r="BR46" s="16">
        <f t="shared" si="10"/>
        <v>39.5790467157816</v>
      </c>
      <c r="BS46" s="102">
        <f t="shared" si="11"/>
        <v>11.9815668202765</v>
      </c>
      <c r="BT46" s="13" t="s">
        <v>102</v>
      </c>
      <c r="BU46" s="13" t="s">
        <v>119</v>
      </c>
      <c r="BV46" s="12">
        <v>45796</v>
      </c>
      <c r="BW46" s="13" t="s">
        <v>119</v>
      </c>
      <c r="BX46" s="31">
        <v>6.7</v>
      </c>
      <c r="BY46" s="13" t="s">
        <v>103</v>
      </c>
      <c r="BZ46" s="13" t="s">
        <v>103</v>
      </c>
      <c r="CA46" s="13" t="s">
        <v>103</v>
      </c>
    </row>
    <row r="47" spans="1:79">
      <c r="A47" s="12">
        <v>45795</v>
      </c>
      <c r="B47" s="13">
        <v>25050025</v>
      </c>
      <c r="C47" s="13"/>
      <c r="D47" s="13"/>
      <c r="E47" s="13">
        <v>1</v>
      </c>
      <c r="F47" s="13" t="s">
        <v>111</v>
      </c>
      <c r="G47" s="13">
        <v>43</v>
      </c>
      <c r="H47" s="13">
        <v>43</v>
      </c>
      <c r="I47" s="13" t="s">
        <v>92</v>
      </c>
      <c r="J47" s="13" t="s">
        <v>117</v>
      </c>
      <c r="K47" s="13" t="s">
        <v>118</v>
      </c>
      <c r="L47" s="13">
        <v>900</v>
      </c>
      <c r="M47" s="13">
        <v>7</v>
      </c>
      <c r="N47" s="13" t="s">
        <v>103</v>
      </c>
      <c r="O47" s="13">
        <v>91.5</v>
      </c>
      <c r="P47" s="31">
        <v>1.72</v>
      </c>
      <c r="Q47" s="16">
        <f t="shared" si="0"/>
        <v>30.9288804759329</v>
      </c>
      <c r="R47" s="13">
        <v>91.5</v>
      </c>
      <c r="S47" s="13" t="s">
        <v>95</v>
      </c>
      <c r="T47" s="13">
        <v>133</v>
      </c>
      <c r="U47" s="13">
        <v>5039</v>
      </c>
      <c r="V47" s="16">
        <f t="shared" si="7"/>
        <v>2.00019845207382</v>
      </c>
      <c r="W47" s="87">
        <f t="shared" si="8"/>
        <v>9576</v>
      </c>
      <c r="X47" s="13">
        <v>10079</v>
      </c>
      <c r="Y47" s="13">
        <v>503</v>
      </c>
      <c r="Z47" s="13">
        <v>91</v>
      </c>
      <c r="AA47" s="13">
        <v>88.8</v>
      </c>
      <c r="AB47" s="13" t="s">
        <v>96</v>
      </c>
      <c r="AC47" s="13" t="s">
        <v>97</v>
      </c>
      <c r="AD47" s="13" t="s">
        <v>98</v>
      </c>
      <c r="AE47" s="13">
        <v>80</v>
      </c>
      <c r="AF47" s="13">
        <v>80</v>
      </c>
      <c r="AG47" s="13">
        <v>80</v>
      </c>
      <c r="AH47" s="13" t="s">
        <v>99</v>
      </c>
      <c r="AI47" s="13" t="s">
        <v>100</v>
      </c>
      <c r="AJ47" s="13" t="s">
        <v>101</v>
      </c>
      <c r="AK47" s="13" t="s">
        <v>102</v>
      </c>
      <c r="AL47" s="13" t="s">
        <v>102</v>
      </c>
      <c r="AM47" s="13" t="s">
        <v>100</v>
      </c>
      <c r="AN47" s="13" t="s">
        <v>101</v>
      </c>
      <c r="AO47" s="13" t="s">
        <v>102</v>
      </c>
      <c r="AP47" s="13" t="s">
        <v>102</v>
      </c>
      <c r="AQ47" s="13">
        <v>13.95</v>
      </c>
      <c r="AR47" s="13">
        <v>21.5</v>
      </c>
      <c r="AS47" s="16">
        <f t="shared" si="2"/>
        <v>2.99925</v>
      </c>
      <c r="AT47" s="13">
        <v>32.9</v>
      </c>
      <c r="AU47" s="13">
        <v>40</v>
      </c>
      <c r="AV47" s="13">
        <v>439.65</v>
      </c>
      <c r="AW47" s="13">
        <v>33.4</v>
      </c>
      <c r="AX47" s="16">
        <f t="shared" si="3"/>
        <v>146.8431</v>
      </c>
      <c r="AY47" s="16">
        <f t="shared" si="9"/>
        <v>13.03966728</v>
      </c>
      <c r="AZ47" s="31">
        <v>2.2</v>
      </c>
      <c r="BA47" s="13">
        <v>0.21</v>
      </c>
      <c r="BB47" s="13">
        <v>501</v>
      </c>
      <c r="BC47" s="13">
        <v>15.48</v>
      </c>
      <c r="BD47" s="13">
        <v>19.7</v>
      </c>
      <c r="BE47" s="16">
        <f t="shared" si="4"/>
        <v>3.04956</v>
      </c>
      <c r="BF47" s="13">
        <v>30.5</v>
      </c>
      <c r="BG47" s="13">
        <v>34</v>
      </c>
      <c r="BH47" s="31" t="s">
        <v>103</v>
      </c>
      <c r="BI47" s="13">
        <v>186</v>
      </c>
      <c r="BJ47" s="31">
        <v>11932</v>
      </c>
      <c r="BK47" s="31">
        <v>1059.52</v>
      </c>
      <c r="BL47" s="31">
        <v>11.5</v>
      </c>
      <c r="BM47" s="13">
        <v>469596</v>
      </c>
      <c r="BN47" s="31">
        <v>99.2</v>
      </c>
      <c r="BO47" s="13" t="s">
        <v>103</v>
      </c>
      <c r="BP47" s="16">
        <f t="shared" si="5"/>
        <v>9.576</v>
      </c>
      <c r="BQ47" s="16">
        <f t="shared" si="6"/>
        <v>59.4856316418286</v>
      </c>
      <c r="BR47" s="16">
        <f t="shared" si="10"/>
        <v>45.4014481063875</v>
      </c>
      <c r="BS47" s="102">
        <f t="shared" si="11"/>
        <v>15</v>
      </c>
      <c r="BT47" s="13" t="s">
        <v>102</v>
      </c>
      <c r="BU47" s="13" t="s">
        <v>119</v>
      </c>
      <c r="BV47" s="12">
        <v>45798</v>
      </c>
      <c r="BW47" s="13" t="s">
        <v>119</v>
      </c>
      <c r="BX47" s="31">
        <v>11.5</v>
      </c>
      <c r="BY47" s="13" t="s">
        <v>103</v>
      </c>
      <c r="BZ47" s="13" t="s">
        <v>103</v>
      </c>
      <c r="CA47" s="13" t="s">
        <v>103</v>
      </c>
    </row>
    <row r="48" spans="1:79">
      <c r="A48" s="12">
        <v>45805</v>
      </c>
      <c r="B48" s="13">
        <v>25050039</v>
      </c>
      <c r="C48" s="13"/>
      <c r="D48" s="13"/>
      <c r="E48" s="13">
        <v>1</v>
      </c>
      <c r="F48" s="13" t="s">
        <v>91</v>
      </c>
      <c r="G48" s="13">
        <v>48</v>
      </c>
      <c r="H48" s="13">
        <v>48</v>
      </c>
      <c r="I48" s="13" t="s">
        <v>92</v>
      </c>
      <c r="J48" s="13" t="s">
        <v>93</v>
      </c>
      <c r="K48" s="13" t="s">
        <v>94</v>
      </c>
      <c r="L48" s="13">
        <v>900</v>
      </c>
      <c r="M48" s="13">
        <v>4</v>
      </c>
      <c r="N48" s="114" t="s">
        <v>103</v>
      </c>
      <c r="O48" s="13">
        <v>94</v>
      </c>
      <c r="P48" s="31">
        <v>1.78</v>
      </c>
      <c r="Q48" s="16">
        <f t="shared" si="0"/>
        <v>29.6679712157556</v>
      </c>
      <c r="R48" s="13">
        <v>94</v>
      </c>
      <c r="S48" s="13" t="s">
        <v>95</v>
      </c>
      <c r="T48" s="13">
        <v>314</v>
      </c>
      <c r="U48" s="13">
        <v>5699</v>
      </c>
      <c r="V48" s="16">
        <f t="shared" ref="V48:V62" si="12">X48/U48</f>
        <v>3.00017546938059</v>
      </c>
      <c r="W48" s="87">
        <f t="shared" ref="W48:W62" si="13">X48-Y48</f>
        <v>16248</v>
      </c>
      <c r="X48" s="13">
        <v>17098</v>
      </c>
      <c r="Y48" s="13">
        <v>850</v>
      </c>
      <c r="Z48" s="13">
        <v>297</v>
      </c>
      <c r="AA48" s="13">
        <v>286.8</v>
      </c>
      <c r="AB48" s="13" t="s">
        <v>96</v>
      </c>
      <c r="AC48" s="13" t="s">
        <v>97</v>
      </c>
      <c r="AD48" s="13" t="s">
        <v>122</v>
      </c>
      <c r="AE48" s="13">
        <v>40</v>
      </c>
      <c r="AF48" s="13">
        <v>56</v>
      </c>
      <c r="AG48" s="13">
        <v>72</v>
      </c>
      <c r="AH48" s="13" t="s">
        <v>99</v>
      </c>
      <c r="AI48" s="13" t="s">
        <v>100</v>
      </c>
      <c r="AJ48" s="13" t="s">
        <v>101</v>
      </c>
      <c r="AK48" s="13" t="s">
        <v>102</v>
      </c>
      <c r="AL48" s="13" t="s">
        <v>113</v>
      </c>
      <c r="AM48" s="13" t="s">
        <v>100</v>
      </c>
      <c r="AN48" s="13" t="s">
        <v>101</v>
      </c>
      <c r="AO48" s="13" t="s">
        <v>102</v>
      </c>
      <c r="AP48" s="13" t="s">
        <v>113</v>
      </c>
      <c r="AQ48" s="13">
        <v>31.5</v>
      </c>
      <c r="AR48" s="13">
        <v>13.7</v>
      </c>
      <c r="AS48" s="16">
        <f t="shared" si="2"/>
        <v>4.3155</v>
      </c>
      <c r="AT48" s="13">
        <v>48.3</v>
      </c>
      <c r="AU48" s="13">
        <v>134</v>
      </c>
      <c r="AV48" s="13">
        <v>261.08</v>
      </c>
      <c r="AW48" s="13">
        <v>47.6</v>
      </c>
      <c r="AX48" s="16">
        <f t="shared" si="3"/>
        <v>124.27408</v>
      </c>
      <c r="AY48" s="16">
        <f t="shared" si="9"/>
        <v>35.641806144</v>
      </c>
      <c r="AZ48" s="31">
        <v>1.7</v>
      </c>
      <c r="BA48" s="13">
        <v>0.14</v>
      </c>
      <c r="BB48" s="13">
        <v>1762</v>
      </c>
      <c r="BC48" s="13">
        <v>23.06</v>
      </c>
      <c r="BD48" s="13">
        <v>12.8</v>
      </c>
      <c r="BE48" s="16">
        <f t="shared" si="4"/>
        <v>2.95168</v>
      </c>
      <c r="BF48" s="13">
        <v>47.5</v>
      </c>
      <c r="BG48" s="13">
        <v>80</v>
      </c>
      <c r="BH48" s="31">
        <v>27.5</v>
      </c>
      <c r="BI48" s="13">
        <v>49.1</v>
      </c>
      <c r="BJ48" s="31">
        <v>1322.1</v>
      </c>
      <c r="BK48" s="31">
        <v>379.1</v>
      </c>
      <c r="BL48" s="31">
        <v>4</v>
      </c>
      <c r="BM48" s="13">
        <v>257556</v>
      </c>
      <c r="BN48" s="31">
        <v>99.3</v>
      </c>
      <c r="BO48" s="13" t="s">
        <v>103</v>
      </c>
      <c r="BP48" s="16">
        <f t="shared" si="5"/>
        <v>16.248</v>
      </c>
      <c r="BQ48" s="16">
        <f t="shared" si="6"/>
        <v>47.5195568484819</v>
      </c>
      <c r="BR48" s="16">
        <f t="shared" si="10"/>
        <v>50.8310021910988</v>
      </c>
      <c r="BS48" s="102">
        <f t="shared" si="11"/>
        <v>40.2985074626866</v>
      </c>
      <c r="BT48" s="13" t="s">
        <v>102</v>
      </c>
      <c r="BU48" s="13" t="s">
        <v>105</v>
      </c>
      <c r="BV48" s="12">
        <v>45806</v>
      </c>
      <c r="BW48" s="13" t="s">
        <v>105</v>
      </c>
      <c r="BX48" s="31">
        <v>4</v>
      </c>
      <c r="BY48" s="13" t="s">
        <v>103</v>
      </c>
      <c r="BZ48" s="13" t="s">
        <v>103</v>
      </c>
      <c r="CA48" s="13" t="s">
        <v>103</v>
      </c>
    </row>
    <row r="49" spans="1:79">
      <c r="A49" s="12">
        <v>45806</v>
      </c>
      <c r="B49" s="13">
        <v>25050044</v>
      </c>
      <c r="C49" s="13"/>
      <c r="D49" s="13"/>
      <c r="E49" s="13">
        <v>1</v>
      </c>
      <c r="F49" s="13" t="s">
        <v>91</v>
      </c>
      <c r="G49" s="13">
        <v>61</v>
      </c>
      <c r="H49" s="13">
        <v>61</v>
      </c>
      <c r="I49" s="13" t="s">
        <v>92</v>
      </c>
      <c r="J49" s="13" t="s">
        <v>93</v>
      </c>
      <c r="K49" s="13" t="s">
        <v>94</v>
      </c>
      <c r="L49" s="13">
        <v>900</v>
      </c>
      <c r="M49" s="13">
        <v>4</v>
      </c>
      <c r="N49" s="13">
        <v>0.24</v>
      </c>
      <c r="O49" s="13">
        <v>80.5</v>
      </c>
      <c r="P49" s="31">
        <v>1.63</v>
      </c>
      <c r="Q49" s="16">
        <f t="shared" si="0"/>
        <v>30.2984681395611</v>
      </c>
      <c r="R49" s="13">
        <v>80.5</v>
      </c>
      <c r="S49" s="13" t="s">
        <v>95</v>
      </c>
      <c r="T49" s="13">
        <v>284</v>
      </c>
      <c r="U49" s="13">
        <v>4768</v>
      </c>
      <c r="V49" s="16">
        <f t="shared" si="12"/>
        <v>3.50020973154362</v>
      </c>
      <c r="W49" s="87">
        <f t="shared" si="13"/>
        <v>15870</v>
      </c>
      <c r="X49" s="13">
        <v>16689</v>
      </c>
      <c r="Y49" s="13">
        <v>819</v>
      </c>
      <c r="Z49" s="13">
        <v>265</v>
      </c>
      <c r="AA49" s="13">
        <v>254.7</v>
      </c>
      <c r="AB49" s="13" t="s">
        <v>96</v>
      </c>
      <c r="AC49" s="13" t="s">
        <v>97</v>
      </c>
      <c r="AD49" s="13" t="s">
        <v>98</v>
      </c>
      <c r="AE49" s="13">
        <v>50</v>
      </c>
      <c r="AF49" s="13">
        <v>60</v>
      </c>
      <c r="AG49" s="13">
        <v>70</v>
      </c>
      <c r="AH49" s="13" t="s">
        <v>99</v>
      </c>
      <c r="AI49" s="13" t="s">
        <v>110</v>
      </c>
      <c r="AJ49" s="13" t="s">
        <v>101</v>
      </c>
      <c r="AK49" s="13" t="s">
        <v>102</v>
      </c>
      <c r="AL49" s="13" t="s">
        <v>113</v>
      </c>
      <c r="AM49" s="13" t="s">
        <v>110</v>
      </c>
      <c r="AN49" s="13" t="s">
        <v>101</v>
      </c>
      <c r="AO49" s="13" t="s">
        <v>102</v>
      </c>
      <c r="AP49" s="13" t="s">
        <v>113</v>
      </c>
      <c r="AQ49" s="13">
        <v>62.5</v>
      </c>
      <c r="AR49" s="13">
        <v>20.6</v>
      </c>
      <c r="AS49" s="16">
        <f t="shared" si="2"/>
        <v>12.875</v>
      </c>
      <c r="AT49" s="13">
        <v>36.5</v>
      </c>
      <c r="AU49" s="13">
        <v>194</v>
      </c>
      <c r="AV49" s="13">
        <v>393.86</v>
      </c>
      <c r="AW49" s="13">
        <v>81.9</v>
      </c>
      <c r="AX49" s="16">
        <f t="shared" si="3"/>
        <v>322.57134</v>
      </c>
      <c r="AY49" s="16">
        <f t="shared" si="9"/>
        <v>82.158920298</v>
      </c>
      <c r="AZ49" s="31">
        <v>1.6</v>
      </c>
      <c r="BA49" s="13">
        <v>0.13</v>
      </c>
      <c r="BB49" s="13">
        <v>1310</v>
      </c>
      <c r="BC49" s="13">
        <v>47.35</v>
      </c>
      <c r="BD49" s="13">
        <v>10.9</v>
      </c>
      <c r="BE49" s="16">
        <f t="shared" si="4"/>
        <v>5.16115</v>
      </c>
      <c r="BF49" s="13">
        <v>35.6</v>
      </c>
      <c r="BG49" s="13">
        <v>115</v>
      </c>
      <c r="BH49" s="31">
        <v>12.9</v>
      </c>
      <c r="BI49" s="13">
        <v>72.1</v>
      </c>
      <c r="BJ49" s="31">
        <v>2251.3</v>
      </c>
      <c r="BK49" s="31">
        <v>573.3</v>
      </c>
      <c r="BL49" s="31">
        <v>7.1</v>
      </c>
      <c r="BM49" s="13">
        <v>473108</v>
      </c>
      <c r="BN49" s="31">
        <v>99.3</v>
      </c>
      <c r="BO49" s="13" t="s">
        <v>103</v>
      </c>
      <c r="BP49" s="16">
        <f t="shared" ref="BP49:BP104" si="14">(X49-Y49)/1000</f>
        <v>15.87</v>
      </c>
      <c r="BQ49" s="16">
        <f t="shared" ref="BQ49:BQ104" si="15">(BK49/(BI49*BP49))*100</f>
        <v>50.1036944592288</v>
      </c>
      <c r="BR49" s="16">
        <f t="shared" si="10"/>
        <v>40.2096746247729</v>
      </c>
      <c r="BS49" s="102">
        <f t="shared" ref="BS49:BS72" si="16">(1-(BG49/AU49))*100</f>
        <v>40.7216494845361</v>
      </c>
      <c r="BT49" s="13" t="s">
        <v>102</v>
      </c>
      <c r="BU49" s="13" t="s">
        <v>105</v>
      </c>
      <c r="BV49" s="12">
        <v>45807</v>
      </c>
      <c r="BW49" s="13" t="s">
        <v>105</v>
      </c>
      <c r="BX49" s="31">
        <v>7.1</v>
      </c>
      <c r="BY49" s="13" t="s">
        <v>103</v>
      </c>
      <c r="BZ49" s="13" t="s">
        <v>103</v>
      </c>
      <c r="CA49" s="13" t="s">
        <v>103</v>
      </c>
    </row>
    <row r="50" spans="1:79">
      <c r="A50" s="12">
        <v>45806</v>
      </c>
      <c r="B50" s="13">
        <v>25050045</v>
      </c>
      <c r="C50" s="13"/>
      <c r="D50" s="13"/>
      <c r="E50" s="13">
        <v>1</v>
      </c>
      <c r="F50" s="13" t="s">
        <v>111</v>
      </c>
      <c r="G50" s="13">
        <v>15</v>
      </c>
      <c r="H50" s="13">
        <v>19</v>
      </c>
      <c r="I50" s="13" t="s">
        <v>120</v>
      </c>
      <c r="J50" s="13" t="s">
        <v>112</v>
      </c>
      <c r="K50" s="13" t="s">
        <v>94</v>
      </c>
      <c r="L50" s="13">
        <v>600</v>
      </c>
      <c r="M50" s="13">
        <v>4</v>
      </c>
      <c r="N50" s="13" t="s">
        <v>103</v>
      </c>
      <c r="O50" s="13">
        <v>63</v>
      </c>
      <c r="P50" s="31">
        <v>1.6</v>
      </c>
      <c r="Q50" s="16">
        <f t="shared" si="0"/>
        <v>24.609375</v>
      </c>
      <c r="R50" s="13">
        <v>74</v>
      </c>
      <c r="S50" s="13" t="s">
        <v>95</v>
      </c>
      <c r="T50" s="13">
        <v>193</v>
      </c>
      <c r="U50" s="13">
        <v>3726</v>
      </c>
      <c r="V50" s="16">
        <f t="shared" si="12"/>
        <v>4.00026838432635</v>
      </c>
      <c r="W50" s="87">
        <f t="shared" si="13"/>
        <v>14153</v>
      </c>
      <c r="X50" s="13">
        <v>14905</v>
      </c>
      <c r="Y50" s="13">
        <v>752</v>
      </c>
      <c r="Z50" s="13">
        <v>171</v>
      </c>
      <c r="AA50" s="13">
        <v>165</v>
      </c>
      <c r="AB50" s="13" t="s">
        <v>96</v>
      </c>
      <c r="AC50" s="13" t="s">
        <v>121</v>
      </c>
      <c r="AD50" s="13" t="s">
        <v>98</v>
      </c>
      <c r="AE50" s="13">
        <v>80</v>
      </c>
      <c r="AF50" s="13">
        <v>82.5</v>
      </c>
      <c r="AG50" s="13">
        <v>85</v>
      </c>
      <c r="AH50" s="13" t="s">
        <v>109</v>
      </c>
      <c r="AI50" s="13" t="s">
        <v>110</v>
      </c>
      <c r="AJ50" s="13" t="s">
        <v>101</v>
      </c>
      <c r="AK50" s="13" t="s">
        <v>102</v>
      </c>
      <c r="AL50" s="13" t="s">
        <v>102</v>
      </c>
      <c r="AM50" s="13" t="s">
        <v>110</v>
      </c>
      <c r="AN50" s="13" t="s">
        <v>101</v>
      </c>
      <c r="AO50" s="13" t="s">
        <v>102</v>
      </c>
      <c r="AP50" s="13" t="s">
        <v>102</v>
      </c>
      <c r="AQ50" s="13">
        <v>52.85</v>
      </c>
      <c r="AR50" s="13">
        <v>13.3</v>
      </c>
      <c r="AS50" s="16">
        <f t="shared" si="2"/>
        <v>7.02905</v>
      </c>
      <c r="AT50" s="13">
        <v>34.3</v>
      </c>
      <c r="AU50" s="13">
        <v>194</v>
      </c>
      <c r="AV50" s="13">
        <v>451.7</v>
      </c>
      <c r="AW50" s="13">
        <v>70.3</v>
      </c>
      <c r="AX50" s="16">
        <f t="shared" si="3"/>
        <v>317.5451</v>
      </c>
      <c r="AY50" s="16">
        <f t="shared" si="9"/>
        <v>52.3949415</v>
      </c>
      <c r="AZ50" s="31">
        <v>3.7</v>
      </c>
      <c r="BA50" s="13">
        <v>0.67</v>
      </c>
      <c r="BB50" s="13">
        <v>2620</v>
      </c>
      <c r="BC50" s="13">
        <v>41.75</v>
      </c>
      <c r="BD50" s="13">
        <v>14.1</v>
      </c>
      <c r="BE50" s="16">
        <f t="shared" si="4"/>
        <v>5.88675</v>
      </c>
      <c r="BF50" s="13">
        <v>37.6</v>
      </c>
      <c r="BG50" s="13">
        <v>123</v>
      </c>
      <c r="BH50" s="31">
        <v>47</v>
      </c>
      <c r="BI50" s="13">
        <v>114.5</v>
      </c>
      <c r="BJ50" s="31">
        <v>3974.8</v>
      </c>
      <c r="BK50" s="31">
        <v>655.8</v>
      </c>
      <c r="BL50" s="31">
        <v>8.3</v>
      </c>
      <c r="BM50" s="13">
        <v>440765</v>
      </c>
      <c r="BN50" s="31">
        <v>98.9</v>
      </c>
      <c r="BO50" s="13" t="s">
        <v>103</v>
      </c>
      <c r="BP50" s="16">
        <f t="shared" si="14"/>
        <v>14.153</v>
      </c>
      <c r="BQ50" s="16">
        <f t="shared" si="15"/>
        <v>40.4685290541268</v>
      </c>
      <c r="BR50" s="16">
        <f t="shared" si="10"/>
        <v>52.6676839188951</v>
      </c>
      <c r="BS50" s="102">
        <f t="shared" si="16"/>
        <v>36.5979381443299</v>
      </c>
      <c r="BT50" s="13" t="s">
        <v>102</v>
      </c>
      <c r="BU50" s="13" t="s">
        <v>105</v>
      </c>
      <c r="BV50" s="12">
        <v>45807</v>
      </c>
      <c r="BW50" s="13" t="s">
        <v>105</v>
      </c>
      <c r="BX50" s="31">
        <v>8.3</v>
      </c>
      <c r="BY50" s="13" t="s">
        <v>103</v>
      </c>
      <c r="BZ50" s="13" t="s">
        <v>103</v>
      </c>
      <c r="CA50" s="13" t="s">
        <v>103</v>
      </c>
    </row>
    <row r="51" spans="1:79">
      <c r="A51" s="12">
        <v>45807</v>
      </c>
      <c r="B51" s="13">
        <v>25050047</v>
      </c>
      <c r="C51" s="13"/>
      <c r="D51" s="13"/>
      <c r="E51" s="13">
        <v>1</v>
      </c>
      <c r="F51" s="13" t="s">
        <v>91</v>
      </c>
      <c r="G51" s="13">
        <v>32</v>
      </c>
      <c r="H51" s="13">
        <v>24</v>
      </c>
      <c r="I51" s="13" t="s">
        <v>124</v>
      </c>
      <c r="J51" s="13" t="s">
        <v>125</v>
      </c>
      <c r="K51" s="13" t="s">
        <v>132</v>
      </c>
      <c r="L51" s="13">
        <v>900</v>
      </c>
      <c r="M51" s="13">
        <v>4</v>
      </c>
      <c r="N51" s="13" t="s">
        <v>103</v>
      </c>
      <c r="O51" s="13">
        <v>103</v>
      </c>
      <c r="P51" s="31">
        <v>1.74</v>
      </c>
      <c r="Q51" s="16">
        <f t="shared" si="0"/>
        <v>34.0203461487647</v>
      </c>
      <c r="R51" s="13">
        <v>68</v>
      </c>
      <c r="S51" s="13" t="s">
        <v>95</v>
      </c>
      <c r="T51" s="13">
        <v>155</v>
      </c>
      <c r="U51" s="13">
        <v>5853</v>
      </c>
      <c r="V51" s="16">
        <f t="shared" si="12"/>
        <v>2</v>
      </c>
      <c r="W51" s="87">
        <f t="shared" si="13"/>
        <v>11124</v>
      </c>
      <c r="X51" s="13">
        <v>11706</v>
      </c>
      <c r="Y51" s="13">
        <v>582</v>
      </c>
      <c r="Z51" s="13">
        <v>141</v>
      </c>
      <c r="AA51" s="13">
        <v>140</v>
      </c>
      <c r="AB51" s="13" t="s">
        <v>96</v>
      </c>
      <c r="AC51" s="13" t="s">
        <v>97</v>
      </c>
      <c r="AD51" s="13" t="s">
        <v>98</v>
      </c>
      <c r="AE51" s="13">
        <v>80</v>
      </c>
      <c r="AF51" s="13">
        <v>80</v>
      </c>
      <c r="AG51" s="13">
        <v>80</v>
      </c>
      <c r="AH51" s="13" t="s">
        <v>99</v>
      </c>
      <c r="AI51" s="13" t="s">
        <v>110</v>
      </c>
      <c r="AJ51" s="13" t="s">
        <v>101</v>
      </c>
      <c r="AK51" s="13" t="s">
        <v>102</v>
      </c>
      <c r="AL51" s="13" t="s">
        <v>102</v>
      </c>
      <c r="AM51" s="13" t="s">
        <v>110</v>
      </c>
      <c r="AN51" s="13" t="s">
        <v>101</v>
      </c>
      <c r="AO51" s="13" t="s">
        <v>102</v>
      </c>
      <c r="AP51" s="13" t="s">
        <v>102</v>
      </c>
      <c r="AQ51" s="13">
        <v>65.21</v>
      </c>
      <c r="AR51" s="13">
        <v>17.1</v>
      </c>
      <c r="AS51" s="16">
        <f t="shared" si="2"/>
        <v>11.15091</v>
      </c>
      <c r="AT51" s="13">
        <v>42.5</v>
      </c>
      <c r="AU51" s="13">
        <v>215</v>
      </c>
      <c r="AV51" s="13">
        <v>598.8</v>
      </c>
      <c r="AW51" s="13">
        <v>78.2</v>
      </c>
      <c r="AX51" s="16">
        <f t="shared" si="3"/>
        <v>468.2616</v>
      </c>
      <c r="AY51" s="16">
        <f t="shared" si="9"/>
        <v>65.556624</v>
      </c>
      <c r="AZ51" s="31">
        <v>3.8</v>
      </c>
      <c r="BA51" s="13">
        <v>0.43</v>
      </c>
      <c r="BB51" s="13">
        <v>3250</v>
      </c>
      <c r="BC51" s="13">
        <v>56.46</v>
      </c>
      <c r="BD51" s="13">
        <v>12</v>
      </c>
      <c r="BE51" s="16">
        <f t="shared" si="4"/>
        <v>6.7752</v>
      </c>
      <c r="BF51" s="13">
        <v>41.9</v>
      </c>
      <c r="BG51" s="13">
        <v>132</v>
      </c>
      <c r="BH51" s="31" t="s">
        <v>103</v>
      </c>
      <c r="BI51" s="13">
        <v>211.8</v>
      </c>
      <c r="BJ51" s="31">
        <v>8881.9</v>
      </c>
      <c r="BK51" s="31">
        <v>1243.4</v>
      </c>
      <c r="BL51" s="31">
        <v>18.2</v>
      </c>
      <c r="BM51" s="13">
        <v>598783</v>
      </c>
      <c r="BN51" s="31">
        <v>99.4</v>
      </c>
      <c r="BO51" s="13" t="s">
        <v>103</v>
      </c>
      <c r="BP51" s="16">
        <f t="shared" si="14"/>
        <v>11.124</v>
      </c>
      <c r="BQ51" s="16">
        <f t="shared" si="15"/>
        <v>52.7744756592268</v>
      </c>
      <c r="BR51" s="16">
        <f t="shared" si="10"/>
        <v>52.8500362609422</v>
      </c>
      <c r="BS51" s="102">
        <f t="shared" si="16"/>
        <v>38.6046511627907</v>
      </c>
      <c r="BT51" s="13" t="s">
        <v>102</v>
      </c>
      <c r="BU51" s="13" t="s">
        <v>119</v>
      </c>
      <c r="BV51" s="12">
        <v>45808</v>
      </c>
      <c r="BW51" s="13" t="s">
        <v>119</v>
      </c>
      <c r="BX51" s="31">
        <v>9.1</v>
      </c>
      <c r="BY51" s="13" t="s">
        <v>103</v>
      </c>
      <c r="BZ51" s="13" t="s">
        <v>103</v>
      </c>
      <c r="CA51" s="13" t="s">
        <v>103</v>
      </c>
    </row>
    <row r="52" spans="1:79">
      <c r="A52" s="12">
        <v>45813</v>
      </c>
      <c r="B52" s="13">
        <v>25060011</v>
      </c>
      <c r="C52" s="13"/>
      <c r="D52" s="13"/>
      <c r="E52" s="13">
        <v>1</v>
      </c>
      <c r="F52" s="13" t="s">
        <v>111</v>
      </c>
      <c r="G52" s="13">
        <v>36</v>
      </c>
      <c r="H52" s="13">
        <v>11</v>
      </c>
      <c r="I52" s="13" t="s">
        <v>124</v>
      </c>
      <c r="J52" s="13" t="s">
        <v>125</v>
      </c>
      <c r="K52" s="13" t="s">
        <v>116</v>
      </c>
      <c r="L52" s="13">
        <v>600</v>
      </c>
      <c r="M52" s="13">
        <v>4</v>
      </c>
      <c r="N52" s="13" t="s">
        <v>103</v>
      </c>
      <c r="O52" s="13">
        <v>82</v>
      </c>
      <c r="P52" s="31">
        <v>1.56</v>
      </c>
      <c r="Q52" s="16">
        <f t="shared" si="0"/>
        <v>33.6949375410914</v>
      </c>
      <c r="R52" s="13">
        <v>31</v>
      </c>
      <c r="S52" s="13" t="s">
        <v>95</v>
      </c>
      <c r="T52" s="13">
        <v>139</v>
      </c>
      <c r="U52" s="13">
        <v>4248</v>
      </c>
      <c r="V52" s="16">
        <f t="shared" si="12"/>
        <v>1.5</v>
      </c>
      <c r="W52" s="87">
        <f t="shared" si="13"/>
        <v>6038</v>
      </c>
      <c r="X52" s="13">
        <v>6372</v>
      </c>
      <c r="Y52" s="13">
        <v>334</v>
      </c>
      <c r="Z52" s="13">
        <v>116</v>
      </c>
      <c r="AA52" s="13">
        <v>122</v>
      </c>
      <c r="AB52" s="13" t="s">
        <v>96</v>
      </c>
      <c r="AC52" s="13" t="s">
        <v>97</v>
      </c>
      <c r="AD52" s="13" t="s">
        <v>122</v>
      </c>
      <c r="AE52" s="13">
        <v>45</v>
      </c>
      <c r="AF52" s="13">
        <v>50</v>
      </c>
      <c r="AG52" s="13">
        <v>55</v>
      </c>
      <c r="AH52" s="13" t="s">
        <v>99</v>
      </c>
      <c r="AI52" s="13" t="s">
        <v>100</v>
      </c>
      <c r="AJ52" s="13" t="s">
        <v>101</v>
      </c>
      <c r="AK52" s="13" t="s">
        <v>102</v>
      </c>
      <c r="AL52" s="13">
        <v>77</v>
      </c>
      <c r="AM52" s="13" t="s">
        <v>110</v>
      </c>
      <c r="AN52" s="13" t="s">
        <v>101</v>
      </c>
      <c r="AO52" s="13" t="s">
        <v>102</v>
      </c>
      <c r="AP52" s="13">
        <v>181.4</v>
      </c>
      <c r="AQ52" s="13">
        <v>50.66</v>
      </c>
      <c r="AR52" s="13">
        <v>17.3</v>
      </c>
      <c r="AS52" s="16">
        <f t="shared" si="2"/>
        <v>8.76418</v>
      </c>
      <c r="AT52" s="13">
        <v>38</v>
      </c>
      <c r="AU52" s="13">
        <v>260</v>
      </c>
      <c r="AV52" s="13">
        <v>350.62</v>
      </c>
      <c r="AW52" s="13">
        <v>81.6</v>
      </c>
      <c r="AX52" s="16">
        <f t="shared" si="3"/>
        <v>286.10592</v>
      </c>
      <c r="AY52" s="16">
        <f t="shared" si="9"/>
        <v>34.90492224</v>
      </c>
      <c r="AZ52" s="31">
        <v>2.1</v>
      </c>
      <c r="BA52" s="13">
        <v>0.16</v>
      </c>
      <c r="BB52" s="13">
        <v>1951</v>
      </c>
      <c r="BC52" s="13">
        <v>47.16</v>
      </c>
      <c r="BD52" s="13">
        <v>16</v>
      </c>
      <c r="BE52" s="16">
        <f t="shared" si="4"/>
        <v>7.5456</v>
      </c>
      <c r="BF52" s="13">
        <v>37.1</v>
      </c>
      <c r="BG52" s="13">
        <v>64</v>
      </c>
      <c r="BH52" s="31">
        <v>70.5</v>
      </c>
      <c r="BI52" s="13">
        <v>82.1</v>
      </c>
      <c r="BJ52" s="31">
        <v>3081</v>
      </c>
      <c r="BK52" s="31">
        <v>375.8</v>
      </c>
      <c r="BL52" s="31">
        <v>12.1</v>
      </c>
      <c r="BM52" s="13">
        <v>388841</v>
      </c>
      <c r="BN52" s="31">
        <v>99.3</v>
      </c>
      <c r="BO52" s="13" t="s">
        <v>103</v>
      </c>
      <c r="BP52" s="16">
        <f t="shared" si="14"/>
        <v>6.038</v>
      </c>
      <c r="BQ52" s="16">
        <f t="shared" si="15"/>
        <v>75.8089549781954</v>
      </c>
      <c r="BR52" s="16">
        <f t="shared" si="10"/>
        <v>65.9602476526734</v>
      </c>
      <c r="BS52" s="102">
        <f t="shared" si="16"/>
        <v>75.3846153846154</v>
      </c>
      <c r="BT52" s="13" t="s">
        <v>102</v>
      </c>
      <c r="BU52" s="13" t="s">
        <v>105</v>
      </c>
      <c r="BV52" s="12">
        <v>45814</v>
      </c>
      <c r="BW52" s="13" t="s">
        <v>105</v>
      </c>
      <c r="BX52" s="31">
        <v>10</v>
      </c>
      <c r="BY52" s="13" t="s">
        <v>103</v>
      </c>
      <c r="BZ52" s="13" t="s">
        <v>103</v>
      </c>
      <c r="CA52" s="13" t="s">
        <v>103</v>
      </c>
    </row>
    <row r="53" spans="1:79">
      <c r="A53" s="12">
        <v>45814</v>
      </c>
      <c r="B53" s="13">
        <v>25060019</v>
      </c>
      <c r="C53" s="13"/>
      <c r="D53" s="13"/>
      <c r="E53" s="13">
        <v>1</v>
      </c>
      <c r="F53" s="13" t="s">
        <v>111</v>
      </c>
      <c r="G53" s="13">
        <v>38</v>
      </c>
      <c r="H53" s="13">
        <v>20</v>
      </c>
      <c r="I53" s="13" t="s">
        <v>124</v>
      </c>
      <c r="J53" s="13" t="s">
        <v>125</v>
      </c>
      <c r="K53" s="13" t="s">
        <v>94</v>
      </c>
      <c r="L53" s="13">
        <v>600</v>
      </c>
      <c r="M53" s="13">
        <v>4</v>
      </c>
      <c r="N53" s="13">
        <v>0.24</v>
      </c>
      <c r="O53" s="13">
        <v>57.8</v>
      </c>
      <c r="P53" s="31">
        <v>1.46</v>
      </c>
      <c r="Q53" s="16">
        <f t="shared" si="0"/>
        <v>27.1157815725277</v>
      </c>
      <c r="R53" s="13">
        <v>20</v>
      </c>
      <c r="S53" s="13" t="s">
        <v>95</v>
      </c>
      <c r="T53" s="13">
        <v>205</v>
      </c>
      <c r="U53" s="13">
        <v>3210</v>
      </c>
      <c r="V53" s="16">
        <f t="shared" si="12"/>
        <v>4.76292834890966</v>
      </c>
      <c r="W53" s="87">
        <f t="shared" si="13"/>
        <v>14539</v>
      </c>
      <c r="X53" s="13">
        <v>15289</v>
      </c>
      <c r="Y53" s="13">
        <v>750</v>
      </c>
      <c r="Z53" s="13">
        <v>190</v>
      </c>
      <c r="AA53" s="13">
        <v>187.1</v>
      </c>
      <c r="AB53" s="13" t="s">
        <v>96</v>
      </c>
      <c r="AC53" s="13" t="s">
        <v>121</v>
      </c>
      <c r="AD53" s="13" t="s">
        <v>98</v>
      </c>
      <c r="AE53" s="13">
        <v>80</v>
      </c>
      <c r="AF53" s="13">
        <v>80</v>
      </c>
      <c r="AG53" s="13">
        <v>80</v>
      </c>
      <c r="AH53" s="13" t="s">
        <v>147</v>
      </c>
      <c r="AI53" s="13" t="s">
        <v>100</v>
      </c>
      <c r="AJ53" s="13" t="s">
        <v>101</v>
      </c>
      <c r="AK53" s="13" t="s">
        <v>102</v>
      </c>
      <c r="AL53" s="13">
        <v>137.4</v>
      </c>
      <c r="AM53" s="13" t="s">
        <v>100</v>
      </c>
      <c r="AN53" s="13" t="s">
        <v>101</v>
      </c>
      <c r="AO53" s="13" t="s">
        <v>102</v>
      </c>
      <c r="AP53" s="13">
        <v>23.2</v>
      </c>
      <c r="AQ53" s="13">
        <v>75.12</v>
      </c>
      <c r="AR53" s="13">
        <v>18.2</v>
      </c>
      <c r="AS53" s="16">
        <f t="shared" si="2"/>
        <v>13.67184</v>
      </c>
      <c r="AT53" s="13">
        <v>39.6</v>
      </c>
      <c r="AU53" s="13">
        <v>161</v>
      </c>
      <c r="AV53" s="13">
        <v>454.5</v>
      </c>
      <c r="AW53" s="13">
        <v>89.1</v>
      </c>
      <c r="AX53" s="16">
        <f t="shared" si="3"/>
        <v>404.9595</v>
      </c>
      <c r="AY53" s="16">
        <f t="shared" si="9"/>
        <v>75.76792245</v>
      </c>
      <c r="AZ53" s="31">
        <v>2.9</v>
      </c>
      <c r="BA53" s="13">
        <v>0.49</v>
      </c>
      <c r="BB53" s="13">
        <v>2450</v>
      </c>
      <c r="BC53" s="13">
        <v>70.56</v>
      </c>
      <c r="BD53" s="13">
        <v>11.4</v>
      </c>
      <c r="BE53" s="16">
        <f t="shared" si="4"/>
        <v>8.04384</v>
      </c>
      <c r="BF53" s="13">
        <v>44.3</v>
      </c>
      <c r="BG53" s="13">
        <v>91</v>
      </c>
      <c r="BH53" s="31">
        <v>8</v>
      </c>
      <c r="BI53" s="13">
        <v>41.6</v>
      </c>
      <c r="BJ53" s="31">
        <v>1746.5</v>
      </c>
      <c r="BK53" s="31">
        <v>326.7</v>
      </c>
      <c r="BL53" s="31">
        <v>5.5</v>
      </c>
      <c r="BM53" s="13">
        <v>464192</v>
      </c>
      <c r="BN53" s="31">
        <v>99.5</v>
      </c>
      <c r="BO53" s="13" t="s">
        <v>103</v>
      </c>
      <c r="BP53" s="16">
        <f t="shared" si="14"/>
        <v>14.539</v>
      </c>
      <c r="BQ53" s="16">
        <f t="shared" si="15"/>
        <v>54.0158565555773</v>
      </c>
      <c r="BR53" s="16">
        <f t="shared" si="10"/>
        <v>38.1174531606473</v>
      </c>
      <c r="BS53" s="102">
        <f t="shared" si="16"/>
        <v>43.4782608695652</v>
      </c>
      <c r="BT53" s="13" t="s">
        <v>102</v>
      </c>
      <c r="BU53" s="13" t="s">
        <v>105</v>
      </c>
      <c r="BV53" s="12">
        <v>45814</v>
      </c>
      <c r="BW53" s="13" t="s">
        <v>105</v>
      </c>
      <c r="BX53" s="31">
        <v>5.5</v>
      </c>
      <c r="BY53" s="13" t="s">
        <v>103</v>
      </c>
      <c r="BZ53" s="13" t="s">
        <v>103</v>
      </c>
      <c r="CA53" s="13" t="s">
        <v>103</v>
      </c>
    </row>
    <row r="54" spans="1:79">
      <c r="A54" s="12">
        <v>45818</v>
      </c>
      <c r="B54" s="13">
        <v>25060024</v>
      </c>
      <c r="C54" s="13"/>
      <c r="D54" s="13"/>
      <c r="E54" s="13">
        <v>1</v>
      </c>
      <c r="F54" s="13" t="s">
        <v>91</v>
      </c>
      <c r="G54" s="13">
        <v>70</v>
      </c>
      <c r="H54" s="13">
        <v>70</v>
      </c>
      <c r="I54" s="13" t="s">
        <v>92</v>
      </c>
      <c r="J54" s="13" t="s">
        <v>93</v>
      </c>
      <c r="K54" s="13" t="s">
        <v>94</v>
      </c>
      <c r="L54" s="13">
        <v>750</v>
      </c>
      <c r="M54" s="13">
        <v>4</v>
      </c>
      <c r="N54" s="13">
        <v>0.24</v>
      </c>
      <c r="O54" s="13">
        <v>78</v>
      </c>
      <c r="P54" s="31">
        <v>1.79</v>
      </c>
      <c r="Q54" s="16">
        <f t="shared" si="0"/>
        <v>24.3438094940857</v>
      </c>
      <c r="R54" s="13">
        <v>78</v>
      </c>
      <c r="S54" s="13" t="s">
        <v>95</v>
      </c>
      <c r="T54" s="13">
        <v>325</v>
      </c>
      <c r="U54" s="13">
        <v>4962</v>
      </c>
      <c r="V54" s="16">
        <f t="shared" si="12"/>
        <v>5.00020153164047</v>
      </c>
      <c r="W54" s="87">
        <f t="shared" si="13"/>
        <v>23596</v>
      </c>
      <c r="X54" s="13">
        <v>24811</v>
      </c>
      <c r="Y54" s="13">
        <v>1215</v>
      </c>
      <c r="Z54" s="13">
        <v>300</v>
      </c>
      <c r="AA54" s="13">
        <v>295.4</v>
      </c>
      <c r="AB54" s="13" t="s">
        <v>96</v>
      </c>
      <c r="AC54" s="13" t="s">
        <v>108</v>
      </c>
      <c r="AD54" s="13" t="s">
        <v>98</v>
      </c>
      <c r="AE54" s="13">
        <v>85</v>
      </c>
      <c r="AF54" s="13">
        <v>82</v>
      </c>
      <c r="AG54" s="13">
        <v>80</v>
      </c>
      <c r="AH54" s="13" t="s">
        <v>99</v>
      </c>
      <c r="AI54" s="13" t="s">
        <v>100</v>
      </c>
      <c r="AJ54" s="13" t="s">
        <v>101</v>
      </c>
      <c r="AK54" s="13" t="s">
        <v>102</v>
      </c>
      <c r="AL54" s="13" t="s">
        <v>102</v>
      </c>
      <c r="AM54" s="13" t="s">
        <v>100</v>
      </c>
      <c r="AN54" s="13" t="s">
        <v>101</v>
      </c>
      <c r="AO54" s="13" t="s">
        <v>102</v>
      </c>
      <c r="AP54" s="13" t="s">
        <v>102</v>
      </c>
      <c r="AQ54" s="13">
        <v>51.14</v>
      </c>
      <c r="AR54" s="13">
        <v>16.7</v>
      </c>
      <c r="AS54" s="16">
        <f t="shared" si="2"/>
        <v>8.54038</v>
      </c>
      <c r="AT54" s="13">
        <v>37.9</v>
      </c>
      <c r="AU54" s="13">
        <v>159</v>
      </c>
      <c r="AV54" s="13">
        <v>270.99</v>
      </c>
      <c r="AW54" s="13">
        <v>91.9</v>
      </c>
      <c r="AX54" s="16">
        <f t="shared" si="3"/>
        <v>249.03981</v>
      </c>
      <c r="AY54" s="16">
        <f t="shared" si="9"/>
        <v>73.566359874</v>
      </c>
      <c r="AZ54" s="31">
        <v>1.3</v>
      </c>
      <c r="BA54" s="13">
        <v>0.14</v>
      </c>
      <c r="BB54" s="13">
        <v>2125</v>
      </c>
      <c r="BC54" s="13">
        <v>38.6</v>
      </c>
      <c r="BD54" s="13">
        <v>7.7</v>
      </c>
      <c r="BE54" s="16">
        <f t="shared" si="4"/>
        <v>2.9722</v>
      </c>
      <c r="BF54" s="13">
        <v>36</v>
      </c>
      <c r="BG54" s="13">
        <v>89</v>
      </c>
      <c r="BH54" s="31">
        <v>4.7</v>
      </c>
      <c r="BI54" s="13">
        <v>47.6</v>
      </c>
      <c r="BJ54" s="31">
        <v>2118.6</v>
      </c>
      <c r="BK54" s="31">
        <v>625.8</v>
      </c>
      <c r="BL54" s="31">
        <v>8</v>
      </c>
      <c r="BM54" s="13">
        <v>312730</v>
      </c>
      <c r="BN54" s="31">
        <v>99.4</v>
      </c>
      <c r="BO54" s="13" t="s">
        <v>103</v>
      </c>
      <c r="BP54" s="16">
        <f t="shared" si="14"/>
        <v>23.596</v>
      </c>
      <c r="BQ54" s="16">
        <f t="shared" si="15"/>
        <v>55.717319984444</v>
      </c>
      <c r="BR54" s="16">
        <f t="shared" si="10"/>
        <v>36.5059525505383</v>
      </c>
      <c r="BS54" s="102">
        <f t="shared" si="16"/>
        <v>44.0251572327044</v>
      </c>
      <c r="BT54" s="13" t="s">
        <v>102</v>
      </c>
      <c r="BU54" s="13" t="s">
        <v>119</v>
      </c>
      <c r="BV54" s="12">
        <v>45820</v>
      </c>
      <c r="BW54" s="13" t="s">
        <v>105</v>
      </c>
      <c r="BX54" s="31">
        <v>8</v>
      </c>
      <c r="BY54" s="13" t="s">
        <v>103</v>
      </c>
      <c r="BZ54" s="13" t="s">
        <v>103</v>
      </c>
      <c r="CA54" s="13" t="s">
        <v>103</v>
      </c>
    </row>
    <row r="55" spans="1:79">
      <c r="A55" s="12">
        <v>45819</v>
      </c>
      <c r="B55" s="13">
        <v>25060032</v>
      </c>
      <c r="C55" s="13"/>
      <c r="D55" s="13"/>
      <c r="E55" s="13">
        <v>1</v>
      </c>
      <c r="F55" s="13" t="s">
        <v>91</v>
      </c>
      <c r="G55" s="13">
        <v>47</v>
      </c>
      <c r="H55" s="13">
        <v>47</v>
      </c>
      <c r="I55" s="13" t="s">
        <v>92</v>
      </c>
      <c r="J55" s="13" t="s">
        <v>93</v>
      </c>
      <c r="K55" s="13" t="s">
        <v>94</v>
      </c>
      <c r="L55" s="13">
        <v>600</v>
      </c>
      <c r="M55" s="13">
        <v>4</v>
      </c>
      <c r="N55" s="13">
        <v>0.24</v>
      </c>
      <c r="O55" s="13">
        <v>69</v>
      </c>
      <c r="P55" s="31">
        <v>1.74</v>
      </c>
      <c r="Q55" s="16">
        <f t="shared" si="0"/>
        <v>22.7903289734443</v>
      </c>
      <c r="R55" s="13">
        <v>69</v>
      </c>
      <c r="S55" s="13" t="s">
        <v>95</v>
      </c>
      <c r="T55" s="13">
        <v>286</v>
      </c>
      <c r="U55" s="13">
        <v>4758</v>
      </c>
      <c r="V55" s="16">
        <f t="shared" si="12"/>
        <v>3.44010088272383</v>
      </c>
      <c r="W55" s="87">
        <f t="shared" si="13"/>
        <v>15566</v>
      </c>
      <c r="X55" s="13">
        <v>16368</v>
      </c>
      <c r="Y55" s="13">
        <v>802</v>
      </c>
      <c r="Z55" s="13">
        <v>224</v>
      </c>
      <c r="AA55" s="13">
        <v>229.7</v>
      </c>
      <c r="AB55" s="13" t="s">
        <v>96</v>
      </c>
      <c r="AC55" s="13" t="s">
        <v>108</v>
      </c>
      <c r="AD55" s="13" t="s">
        <v>122</v>
      </c>
      <c r="AE55" s="13">
        <v>60</v>
      </c>
      <c r="AF55" s="13">
        <v>65</v>
      </c>
      <c r="AG55" s="13">
        <v>70</v>
      </c>
      <c r="AH55" s="13" t="s">
        <v>99</v>
      </c>
      <c r="AI55" s="13" t="s">
        <v>100</v>
      </c>
      <c r="AJ55" s="13" t="s">
        <v>101</v>
      </c>
      <c r="AK55" s="13" t="s">
        <v>102</v>
      </c>
      <c r="AL55" s="13" t="s">
        <v>113</v>
      </c>
      <c r="AM55" s="13" t="s">
        <v>100</v>
      </c>
      <c r="AN55" s="13" t="s">
        <v>101</v>
      </c>
      <c r="AO55" s="13" t="s">
        <v>102</v>
      </c>
      <c r="AP55" s="13" t="s">
        <v>113</v>
      </c>
      <c r="AQ55" s="13">
        <v>87.8</v>
      </c>
      <c r="AR55" s="13">
        <v>18.1</v>
      </c>
      <c r="AS55" s="16">
        <f t="shared" si="2"/>
        <v>15.8918</v>
      </c>
      <c r="AT55" s="13">
        <v>36.5</v>
      </c>
      <c r="AU55" s="13">
        <v>188</v>
      </c>
      <c r="AV55" s="13">
        <v>585.2</v>
      </c>
      <c r="AW55" s="13">
        <v>77.3</v>
      </c>
      <c r="AX55" s="16">
        <f t="shared" si="3"/>
        <v>452.3596</v>
      </c>
      <c r="AY55" s="16">
        <f t="shared" si="9"/>
        <v>103.90700012</v>
      </c>
      <c r="AZ55" s="31">
        <v>3</v>
      </c>
      <c r="BA55" s="13">
        <v>0.4</v>
      </c>
      <c r="BB55" s="13">
        <v>1650</v>
      </c>
      <c r="BC55" s="13">
        <v>75.91</v>
      </c>
      <c r="BD55" s="13">
        <v>9.2</v>
      </c>
      <c r="BE55" s="16">
        <f t="shared" si="4"/>
        <v>6.98372</v>
      </c>
      <c r="BF55" s="13">
        <v>36.6</v>
      </c>
      <c r="BG55" s="13">
        <v>126</v>
      </c>
      <c r="BH55" s="31">
        <v>21.3</v>
      </c>
      <c r="BI55" s="13">
        <v>98.9</v>
      </c>
      <c r="BJ55" s="31">
        <v>3033.4</v>
      </c>
      <c r="BK55" s="31">
        <v>696.7</v>
      </c>
      <c r="BL55" s="31">
        <v>10</v>
      </c>
      <c r="BM55" s="13">
        <v>556492</v>
      </c>
      <c r="BN55" s="31">
        <v>99.3</v>
      </c>
      <c r="BO55" s="13" t="s">
        <v>103</v>
      </c>
      <c r="BP55" s="16">
        <f t="shared" si="14"/>
        <v>15.566</v>
      </c>
      <c r="BQ55" s="16">
        <f t="shared" si="15"/>
        <v>45.2556172633648</v>
      </c>
      <c r="BR55" s="16">
        <f t="shared" si="10"/>
        <v>42.0043907291813</v>
      </c>
      <c r="BS55" s="102">
        <f t="shared" si="16"/>
        <v>32.9787234042553</v>
      </c>
      <c r="BT55" s="13" t="s">
        <v>102</v>
      </c>
      <c r="BU55" s="13" t="s">
        <v>105</v>
      </c>
      <c r="BV55" s="12">
        <v>45820</v>
      </c>
      <c r="BW55" s="13" t="s">
        <v>105</v>
      </c>
      <c r="BX55" s="31">
        <v>10</v>
      </c>
      <c r="BY55" s="13" t="s">
        <v>103</v>
      </c>
      <c r="BZ55" s="13" t="s">
        <v>103</v>
      </c>
      <c r="CA55" s="13" t="s">
        <v>103</v>
      </c>
    </row>
    <row r="56" spans="1:79">
      <c r="A56" s="12">
        <v>45821</v>
      </c>
      <c r="B56" s="13">
        <v>25060036</v>
      </c>
      <c r="C56" s="13"/>
      <c r="D56" s="13"/>
      <c r="E56" s="13">
        <v>1</v>
      </c>
      <c r="F56" s="13" t="s">
        <v>111</v>
      </c>
      <c r="G56" s="13">
        <v>27</v>
      </c>
      <c r="H56" s="13">
        <v>59</v>
      </c>
      <c r="I56" s="13" t="s">
        <v>124</v>
      </c>
      <c r="J56" s="13" t="s">
        <v>112</v>
      </c>
      <c r="K56" s="13" t="s">
        <v>94</v>
      </c>
      <c r="L56" s="13">
        <v>600</v>
      </c>
      <c r="M56" s="13">
        <v>4</v>
      </c>
      <c r="N56" s="13" t="s">
        <v>103</v>
      </c>
      <c r="O56" s="13">
        <v>56.5</v>
      </c>
      <c r="P56" s="31">
        <v>1.59</v>
      </c>
      <c r="Q56" s="16">
        <f t="shared" si="0"/>
        <v>22.3487994936909</v>
      </c>
      <c r="R56" s="13">
        <v>86</v>
      </c>
      <c r="S56" s="13" t="s">
        <v>95</v>
      </c>
      <c r="T56" s="13">
        <v>239</v>
      </c>
      <c r="U56" s="13">
        <v>3500</v>
      </c>
      <c r="V56" s="16">
        <f t="shared" si="12"/>
        <v>5</v>
      </c>
      <c r="W56" s="87">
        <f t="shared" si="13"/>
        <v>16628</v>
      </c>
      <c r="X56" s="13">
        <v>17500</v>
      </c>
      <c r="Y56" s="13">
        <v>872</v>
      </c>
      <c r="Z56" s="13">
        <v>225</v>
      </c>
      <c r="AA56" s="13">
        <v>214.7</v>
      </c>
      <c r="AB56" s="13" t="s">
        <v>96</v>
      </c>
      <c r="AC56" s="13" t="s">
        <v>108</v>
      </c>
      <c r="AD56" s="13" t="s">
        <v>98</v>
      </c>
      <c r="AE56" s="13">
        <v>80</v>
      </c>
      <c r="AF56" s="13">
        <v>80</v>
      </c>
      <c r="AG56" s="13">
        <v>80</v>
      </c>
      <c r="AH56" s="13" t="s">
        <v>109</v>
      </c>
      <c r="AI56" s="13" t="s">
        <v>110</v>
      </c>
      <c r="AJ56" s="13" t="s">
        <v>101</v>
      </c>
      <c r="AK56" s="13" t="s">
        <v>102</v>
      </c>
      <c r="AL56" s="13" t="s">
        <v>102</v>
      </c>
      <c r="AM56" s="13" t="s">
        <v>110</v>
      </c>
      <c r="AN56" s="13" t="s">
        <v>101</v>
      </c>
      <c r="AO56" s="13" t="s">
        <v>102</v>
      </c>
      <c r="AP56" s="13" t="s">
        <v>113</v>
      </c>
      <c r="AQ56" s="13">
        <v>60.27</v>
      </c>
      <c r="AR56" s="13">
        <v>14.3</v>
      </c>
      <c r="AS56" s="16">
        <f t="shared" si="2"/>
        <v>8.61861</v>
      </c>
      <c r="AT56" s="13">
        <v>40.5</v>
      </c>
      <c r="AU56" s="13">
        <v>199</v>
      </c>
      <c r="AV56" s="13">
        <v>279.56</v>
      </c>
      <c r="AW56" s="13">
        <v>97.6</v>
      </c>
      <c r="AX56" s="16">
        <f t="shared" si="3"/>
        <v>272.85056</v>
      </c>
      <c r="AY56" s="16">
        <f t="shared" si="9"/>
        <v>58.581015232</v>
      </c>
      <c r="AZ56" s="31">
        <v>4.1</v>
      </c>
      <c r="BA56" s="13">
        <v>0.59</v>
      </c>
      <c r="BB56" s="13">
        <v>3547</v>
      </c>
      <c r="BC56" s="13">
        <v>65.88</v>
      </c>
      <c r="BD56" s="13">
        <v>9.9</v>
      </c>
      <c r="BE56" s="16">
        <f t="shared" si="4"/>
        <v>6.52212</v>
      </c>
      <c r="BF56" s="13">
        <v>42</v>
      </c>
      <c r="BG56" s="13">
        <v>74</v>
      </c>
      <c r="BH56" s="31">
        <v>29.2</v>
      </c>
      <c r="BI56" s="13">
        <v>87.3</v>
      </c>
      <c r="BJ56" s="31">
        <v>3415</v>
      </c>
      <c r="BK56" s="31">
        <v>733.1</v>
      </c>
      <c r="BL56" s="31">
        <v>8.5</v>
      </c>
      <c r="BM56" s="13">
        <v>280609</v>
      </c>
      <c r="BN56" s="31">
        <v>99.5</v>
      </c>
      <c r="BO56" s="13" t="s">
        <v>103</v>
      </c>
      <c r="BP56" s="16">
        <f t="shared" si="14"/>
        <v>16.628</v>
      </c>
      <c r="BQ56" s="16">
        <f t="shared" si="15"/>
        <v>50.5020444682523</v>
      </c>
      <c r="BR56" s="16">
        <f t="shared" si="10"/>
        <v>40.8770596838748</v>
      </c>
      <c r="BS56" s="102">
        <f t="shared" si="16"/>
        <v>62.8140703517588</v>
      </c>
      <c r="BT56" s="13" t="s">
        <v>102</v>
      </c>
      <c r="BU56" s="13" t="s">
        <v>105</v>
      </c>
      <c r="BV56" s="12">
        <v>45823</v>
      </c>
      <c r="BW56" s="13" t="s">
        <v>105</v>
      </c>
      <c r="BX56" s="31">
        <v>8.5</v>
      </c>
      <c r="BY56" s="13" t="s">
        <v>103</v>
      </c>
      <c r="BZ56" s="13" t="s">
        <v>103</v>
      </c>
      <c r="CA56" s="13" t="s">
        <v>103</v>
      </c>
    </row>
    <row r="57" spans="1:79">
      <c r="A57" s="12">
        <v>45826</v>
      </c>
      <c r="B57" s="13">
        <v>25106037</v>
      </c>
      <c r="C57" s="13"/>
      <c r="D57" s="13"/>
      <c r="E57" s="13">
        <v>1</v>
      </c>
      <c r="F57" s="13" t="s">
        <v>111</v>
      </c>
      <c r="G57" s="13">
        <v>62</v>
      </c>
      <c r="H57" s="13">
        <v>62</v>
      </c>
      <c r="I57" s="13" t="s">
        <v>92</v>
      </c>
      <c r="J57" s="13" t="s">
        <v>93</v>
      </c>
      <c r="K57" s="13" t="s">
        <v>94</v>
      </c>
      <c r="L57" s="13">
        <v>600</v>
      </c>
      <c r="M57" s="13">
        <v>4</v>
      </c>
      <c r="N57" s="13">
        <v>0.24</v>
      </c>
      <c r="O57" s="13">
        <v>62.4</v>
      </c>
      <c r="P57" s="31">
        <v>1.51</v>
      </c>
      <c r="Q57" s="16">
        <f t="shared" si="0"/>
        <v>27.3672207359326</v>
      </c>
      <c r="R57" s="13">
        <v>62.4</v>
      </c>
      <c r="S57" s="13" t="s">
        <v>95</v>
      </c>
      <c r="T57" s="13">
        <v>300</v>
      </c>
      <c r="U57" s="13">
        <v>3460</v>
      </c>
      <c r="V57" s="16">
        <f t="shared" si="12"/>
        <v>4.58815028901734</v>
      </c>
      <c r="W57" s="87">
        <f t="shared" si="13"/>
        <v>15090</v>
      </c>
      <c r="X57" s="13">
        <v>15875</v>
      </c>
      <c r="Y57" s="13">
        <v>785</v>
      </c>
      <c r="Z57" s="13">
        <v>271</v>
      </c>
      <c r="AA57" s="13">
        <v>266.8</v>
      </c>
      <c r="AB57" s="13" t="s">
        <v>96</v>
      </c>
      <c r="AC57" s="13" t="s">
        <v>108</v>
      </c>
      <c r="AD57" s="13" t="s">
        <v>98</v>
      </c>
      <c r="AE57" s="13">
        <v>55</v>
      </c>
      <c r="AF57" s="13">
        <v>56.5</v>
      </c>
      <c r="AG57" s="13">
        <v>50</v>
      </c>
      <c r="AH57" s="13" t="s">
        <v>99</v>
      </c>
      <c r="AI57" s="13" t="s">
        <v>110</v>
      </c>
      <c r="AJ57" s="13" t="s">
        <v>101</v>
      </c>
      <c r="AK57" s="13" t="s">
        <v>102</v>
      </c>
      <c r="AL57" s="13" t="s">
        <v>113</v>
      </c>
      <c r="AM57" s="13" t="s">
        <v>110</v>
      </c>
      <c r="AN57" s="13" t="s">
        <v>101</v>
      </c>
      <c r="AO57" s="13" t="s">
        <v>102</v>
      </c>
      <c r="AP57" s="13" t="s">
        <v>113</v>
      </c>
      <c r="AQ57" s="13">
        <v>90.43</v>
      </c>
      <c r="AR57" s="13">
        <v>21</v>
      </c>
      <c r="AS57" s="16">
        <f t="shared" si="2"/>
        <v>18.9903</v>
      </c>
      <c r="AT57" s="13">
        <v>38.3</v>
      </c>
      <c r="AU57" s="13">
        <v>151</v>
      </c>
      <c r="AV57" s="13">
        <v>386.96</v>
      </c>
      <c r="AW57" s="13">
        <v>79.5</v>
      </c>
      <c r="AX57" s="16">
        <f t="shared" si="3"/>
        <v>307.6332</v>
      </c>
      <c r="AY57" s="16">
        <f t="shared" si="9"/>
        <v>82.07653776</v>
      </c>
      <c r="AZ57" s="31">
        <v>1.1</v>
      </c>
      <c r="BA57" s="13">
        <v>0.11</v>
      </c>
      <c r="BB57" s="13">
        <v>1120</v>
      </c>
      <c r="BC57" s="13">
        <v>65.92</v>
      </c>
      <c r="BD57" s="13">
        <v>7.7</v>
      </c>
      <c r="BE57" s="16">
        <f t="shared" si="4"/>
        <v>5.07584</v>
      </c>
      <c r="BF57" s="13">
        <v>39.1</v>
      </c>
      <c r="BG57" s="13">
        <v>17.1</v>
      </c>
      <c r="BH57" s="31">
        <v>9.2</v>
      </c>
      <c r="BI57" s="13">
        <v>56.9</v>
      </c>
      <c r="BJ57" s="31">
        <v>1085.4</v>
      </c>
      <c r="BK57" s="31">
        <v>289.5</v>
      </c>
      <c r="BL57" s="31">
        <v>4.6</v>
      </c>
      <c r="BM57" s="13">
        <v>434129</v>
      </c>
      <c r="BN57" s="31">
        <v>99.1</v>
      </c>
      <c r="BO57" s="13" t="s">
        <v>103</v>
      </c>
      <c r="BP57" s="16">
        <f t="shared" si="14"/>
        <v>15.09</v>
      </c>
      <c r="BQ57" s="16">
        <f t="shared" si="15"/>
        <v>33.7168552830644</v>
      </c>
      <c r="BR57" s="16">
        <f t="shared" si="10"/>
        <v>28.6416453543841</v>
      </c>
      <c r="BS57" s="102">
        <f t="shared" si="16"/>
        <v>88.6754966887417</v>
      </c>
      <c r="BT57" s="13" t="s">
        <v>102</v>
      </c>
      <c r="BU57" s="13" t="s">
        <v>105</v>
      </c>
      <c r="BV57" s="12">
        <v>45827</v>
      </c>
      <c r="BW57" s="13" t="s">
        <v>105</v>
      </c>
      <c r="BX57" s="31">
        <v>4.6</v>
      </c>
      <c r="BY57" s="13" t="s">
        <v>103</v>
      </c>
      <c r="BZ57" s="13" t="s">
        <v>103</v>
      </c>
      <c r="CA57" s="13" t="s">
        <v>103</v>
      </c>
    </row>
    <row r="58" spans="1:79">
      <c r="A58" s="12">
        <v>45828</v>
      </c>
      <c r="B58" s="13">
        <v>25106038</v>
      </c>
      <c r="C58" s="13"/>
      <c r="D58" s="13"/>
      <c r="E58" s="13">
        <v>1</v>
      </c>
      <c r="F58" s="13" t="s">
        <v>91</v>
      </c>
      <c r="G58" s="13">
        <v>25</v>
      </c>
      <c r="H58" s="13">
        <v>18</v>
      </c>
      <c r="I58" s="13" t="s">
        <v>124</v>
      </c>
      <c r="J58" s="13" t="s">
        <v>125</v>
      </c>
      <c r="K58" s="13" t="s">
        <v>94</v>
      </c>
      <c r="L58" s="13">
        <v>1200</v>
      </c>
      <c r="M58" s="13">
        <v>4</v>
      </c>
      <c r="N58" s="13" t="s">
        <v>103</v>
      </c>
      <c r="O58" s="13">
        <v>117</v>
      </c>
      <c r="P58" s="31">
        <v>1.78</v>
      </c>
      <c r="Q58" s="16">
        <f t="shared" si="0"/>
        <v>36.9271556621639</v>
      </c>
      <c r="R58" s="13">
        <v>87</v>
      </c>
      <c r="S58" s="13" t="s">
        <v>95</v>
      </c>
      <c r="T58" s="13">
        <v>337</v>
      </c>
      <c r="U58" s="13">
        <v>6440</v>
      </c>
      <c r="V58" s="16">
        <f t="shared" si="12"/>
        <v>2.50015527950311</v>
      </c>
      <c r="W58" s="87">
        <f t="shared" si="13"/>
        <v>15314</v>
      </c>
      <c r="X58" s="13">
        <v>16101</v>
      </c>
      <c r="Y58" s="13">
        <v>787</v>
      </c>
      <c r="Z58" s="13">
        <v>314</v>
      </c>
      <c r="AA58" s="13">
        <v>300</v>
      </c>
      <c r="AB58" s="13" t="s">
        <v>96</v>
      </c>
      <c r="AC58" s="13" t="s">
        <v>97</v>
      </c>
      <c r="AD58" s="13" t="s">
        <v>122</v>
      </c>
      <c r="AE58" s="13">
        <v>25.7</v>
      </c>
      <c r="AF58" s="13">
        <v>30.4</v>
      </c>
      <c r="AG58" s="13">
        <v>35</v>
      </c>
      <c r="AH58" s="13" t="s">
        <v>148</v>
      </c>
      <c r="AI58" s="13" t="s">
        <v>100</v>
      </c>
      <c r="AJ58" s="13" t="s">
        <v>101</v>
      </c>
      <c r="AK58" s="13" t="s">
        <v>102</v>
      </c>
      <c r="AL58" s="13">
        <v>46.6</v>
      </c>
      <c r="AM58" s="13" t="s">
        <v>100</v>
      </c>
      <c r="AN58" s="13" t="s">
        <v>101</v>
      </c>
      <c r="AO58" s="13" t="s">
        <v>102</v>
      </c>
      <c r="AP58" s="13">
        <v>179.3</v>
      </c>
      <c r="AQ58" s="13">
        <v>70.45</v>
      </c>
      <c r="AR58" s="13">
        <v>19.4</v>
      </c>
      <c r="AS58" s="16">
        <f t="shared" si="2"/>
        <v>13.6673</v>
      </c>
      <c r="AT58" s="13">
        <v>42</v>
      </c>
      <c r="AU58" s="13">
        <v>203</v>
      </c>
      <c r="AV58" s="13">
        <v>534.3</v>
      </c>
      <c r="AW58" s="13">
        <v>69.5</v>
      </c>
      <c r="AX58" s="16">
        <f t="shared" si="3"/>
        <v>371.3385</v>
      </c>
      <c r="AY58" s="16">
        <f t="shared" si="9"/>
        <v>111.40155</v>
      </c>
      <c r="AZ58" s="31">
        <v>4</v>
      </c>
      <c r="BA58" s="13">
        <v>0.3</v>
      </c>
      <c r="BB58" s="13">
        <v>1630</v>
      </c>
      <c r="BC58" s="13">
        <v>50.47</v>
      </c>
      <c r="BD58" s="13">
        <v>15.9</v>
      </c>
      <c r="BE58" s="16">
        <f t="shared" si="4"/>
        <v>8.02473</v>
      </c>
      <c r="BF58" s="13">
        <v>42.8</v>
      </c>
      <c r="BG58" s="13">
        <v>139</v>
      </c>
      <c r="BH58" s="31">
        <v>119.8</v>
      </c>
      <c r="BI58" s="13">
        <v>140.1</v>
      </c>
      <c r="BJ58" s="31">
        <v>3615.4</v>
      </c>
      <c r="BK58" s="31">
        <v>1084.6</v>
      </c>
      <c r="BL58" s="31">
        <v>12.4</v>
      </c>
      <c r="BM58" s="13">
        <v>482049</v>
      </c>
      <c r="BN58" s="31">
        <v>99</v>
      </c>
      <c r="BO58" s="13" t="s">
        <v>103</v>
      </c>
      <c r="BP58" s="16">
        <f t="shared" si="14"/>
        <v>15.314</v>
      </c>
      <c r="BQ58" s="16">
        <f t="shared" si="15"/>
        <v>50.5525214410088</v>
      </c>
      <c r="BR58" s="16">
        <f t="shared" si="10"/>
        <v>53.2255139064718</v>
      </c>
      <c r="BS58" s="102">
        <f t="shared" si="16"/>
        <v>31.5270935960591</v>
      </c>
      <c r="BT58" s="13" t="s">
        <v>102</v>
      </c>
      <c r="BU58" s="13" t="s">
        <v>105</v>
      </c>
      <c r="BV58" s="12">
        <v>45828</v>
      </c>
      <c r="BW58" s="13" t="s">
        <v>105</v>
      </c>
      <c r="BX58" s="31">
        <v>10</v>
      </c>
      <c r="BY58" s="13" t="s">
        <v>103</v>
      </c>
      <c r="BZ58" s="13" t="s">
        <v>103</v>
      </c>
      <c r="CA58" s="13" t="s">
        <v>103</v>
      </c>
    </row>
    <row r="59" spans="1:79">
      <c r="A59" s="12">
        <v>45828</v>
      </c>
      <c r="B59" s="13">
        <v>25106039</v>
      </c>
      <c r="C59" s="13"/>
      <c r="D59" s="13"/>
      <c r="E59" s="13">
        <v>1</v>
      </c>
      <c r="F59" s="13" t="s">
        <v>91</v>
      </c>
      <c r="G59" s="13">
        <v>34</v>
      </c>
      <c r="H59" s="13">
        <v>33</v>
      </c>
      <c r="I59" s="13" t="s">
        <v>124</v>
      </c>
      <c r="J59" s="13" t="s">
        <v>125</v>
      </c>
      <c r="K59" s="13" t="s">
        <v>94</v>
      </c>
      <c r="L59" s="13">
        <v>900</v>
      </c>
      <c r="M59" s="13">
        <v>4</v>
      </c>
      <c r="N59" s="13" t="s">
        <v>103</v>
      </c>
      <c r="O59" s="13">
        <v>93</v>
      </c>
      <c r="P59" s="31">
        <v>1.64</v>
      </c>
      <c r="Q59" s="16">
        <f t="shared" si="0"/>
        <v>34.5776323616895</v>
      </c>
      <c r="R59" s="13">
        <v>114</v>
      </c>
      <c r="S59" s="13" t="s">
        <v>95</v>
      </c>
      <c r="T59" s="13">
        <v>266</v>
      </c>
      <c r="U59" s="13">
        <v>5216</v>
      </c>
      <c r="V59" s="16">
        <f t="shared" si="12"/>
        <v>3</v>
      </c>
      <c r="W59" s="87">
        <f t="shared" si="13"/>
        <v>14882</v>
      </c>
      <c r="X59" s="13">
        <v>15648</v>
      </c>
      <c r="Y59" s="13">
        <v>766</v>
      </c>
      <c r="Z59" s="13">
        <v>252</v>
      </c>
      <c r="AA59" s="13">
        <v>254.6</v>
      </c>
      <c r="AB59" s="13" t="s">
        <v>96</v>
      </c>
      <c r="AC59" s="13" t="s">
        <v>108</v>
      </c>
      <c r="AD59" s="13" t="s">
        <v>122</v>
      </c>
      <c r="AE59" s="13">
        <v>57</v>
      </c>
      <c r="AF59" s="13">
        <v>63</v>
      </c>
      <c r="AG59" s="13">
        <v>69</v>
      </c>
      <c r="AH59" s="13" t="s">
        <v>99</v>
      </c>
      <c r="AI59" s="13" t="s">
        <v>100</v>
      </c>
      <c r="AJ59" s="13" t="s">
        <v>101</v>
      </c>
      <c r="AK59" s="13" t="s">
        <v>102</v>
      </c>
      <c r="AL59" s="13" t="s">
        <v>113</v>
      </c>
      <c r="AM59" s="13" t="s">
        <v>100</v>
      </c>
      <c r="AN59" s="13" t="s">
        <v>101</v>
      </c>
      <c r="AO59" s="13" t="s">
        <v>102</v>
      </c>
      <c r="AP59" s="13" t="s">
        <v>102</v>
      </c>
      <c r="AQ59" s="13">
        <v>43.01</v>
      </c>
      <c r="AR59" s="13">
        <v>19</v>
      </c>
      <c r="AS59" s="16">
        <f t="shared" si="2"/>
        <v>8.1719</v>
      </c>
      <c r="AT59" s="13">
        <v>41.3</v>
      </c>
      <c r="AU59" s="13">
        <v>191</v>
      </c>
      <c r="AV59" s="13">
        <v>369.36</v>
      </c>
      <c r="AW59" s="13">
        <v>78.9</v>
      </c>
      <c r="AX59" s="16">
        <f t="shared" si="3"/>
        <v>291.42504</v>
      </c>
      <c r="AY59" s="16">
        <f t="shared" si="9"/>
        <v>74.196815184</v>
      </c>
      <c r="AZ59" s="31">
        <v>1.6</v>
      </c>
      <c r="BA59" s="13">
        <v>0.13</v>
      </c>
      <c r="BB59" s="13">
        <v>1671</v>
      </c>
      <c r="BC59" s="13">
        <v>37.49</v>
      </c>
      <c r="BD59" s="13">
        <v>14.5</v>
      </c>
      <c r="BE59" s="16">
        <f t="shared" si="4"/>
        <v>5.43605</v>
      </c>
      <c r="BF59" s="13">
        <v>42.7</v>
      </c>
      <c r="BG59" s="13">
        <v>146</v>
      </c>
      <c r="BH59" s="31">
        <v>72.4</v>
      </c>
      <c r="BI59" s="13">
        <v>136.8</v>
      </c>
      <c r="BJ59" s="31">
        <v>5471.5</v>
      </c>
      <c r="BK59" s="31">
        <v>1393</v>
      </c>
      <c r="BL59" s="31">
        <v>11.7</v>
      </c>
      <c r="BM59" s="13">
        <v>333975</v>
      </c>
      <c r="BN59" s="31">
        <v>99.2</v>
      </c>
      <c r="BO59" s="13" t="s">
        <v>103</v>
      </c>
      <c r="BP59" s="16">
        <f t="shared" si="14"/>
        <v>14.882</v>
      </c>
      <c r="BQ59" s="16">
        <f t="shared" si="15"/>
        <v>68.4232531784148</v>
      </c>
      <c r="BR59" s="16">
        <f t="shared" si="10"/>
        <v>61.0099853014059</v>
      </c>
      <c r="BS59" s="102">
        <f t="shared" si="16"/>
        <v>23.5602094240838</v>
      </c>
      <c r="BT59" s="13" t="s">
        <v>102</v>
      </c>
      <c r="BU59" s="13" t="s">
        <v>105</v>
      </c>
      <c r="BV59" s="12">
        <v>45830</v>
      </c>
      <c r="BW59" s="13" t="s">
        <v>105</v>
      </c>
      <c r="BX59" s="31">
        <v>10</v>
      </c>
      <c r="BY59" s="13" t="s">
        <v>103</v>
      </c>
      <c r="BZ59" s="13" t="s">
        <v>103</v>
      </c>
      <c r="CA59" s="13" t="s">
        <v>103</v>
      </c>
    </row>
    <row r="60" spans="1:79">
      <c r="A60" s="12">
        <v>45828</v>
      </c>
      <c r="B60" s="13">
        <v>25106040</v>
      </c>
      <c r="C60" s="13"/>
      <c r="D60" s="13"/>
      <c r="E60" s="13">
        <v>1</v>
      </c>
      <c r="F60" s="13" t="s">
        <v>111</v>
      </c>
      <c r="G60" s="13">
        <v>29</v>
      </c>
      <c r="H60" s="13">
        <v>23</v>
      </c>
      <c r="I60" s="13" t="s">
        <v>120</v>
      </c>
      <c r="J60" s="13" t="s">
        <v>125</v>
      </c>
      <c r="K60" s="13" t="s">
        <v>94</v>
      </c>
      <c r="L60" s="13">
        <v>600</v>
      </c>
      <c r="M60" s="13">
        <v>4</v>
      </c>
      <c r="N60" s="13" t="s">
        <v>103</v>
      </c>
      <c r="O60" s="13">
        <v>64</v>
      </c>
      <c r="P60" s="31">
        <v>1.7</v>
      </c>
      <c r="Q60" s="16">
        <f t="shared" si="0"/>
        <v>22.1453287197232</v>
      </c>
      <c r="R60" s="13">
        <v>54</v>
      </c>
      <c r="S60" s="13" t="s">
        <v>95</v>
      </c>
      <c r="T60" s="13">
        <v>326</v>
      </c>
      <c r="U60" s="13">
        <v>4050</v>
      </c>
      <c r="V60" s="16">
        <f t="shared" si="12"/>
        <v>3.5</v>
      </c>
      <c r="W60" s="87">
        <f t="shared" si="13"/>
        <v>13467</v>
      </c>
      <c r="X60" s="13">
        <v>14175</v>
      </c>
      <c r="Y60" s="13">
        <v>708</v>
      </c>
      <c r="Z60" s="13">
        <v>295</v>
      </c>
      <c r="AA60" s="13">
        <v>278.9</v>
      </c>
      <c r="AB60" s="13" t="s">
        <v>96</v>
      </c>
      <c r="AC60" s="13" t="s">
        <v>121</v>
      </c>
      <c r="AD60" s="13" t="s">
        <v>122</v>
      </c>
      <c r="AE60" s="13">
        <v>30</v>
      </c>
      <c r="AF60" s="13">
        <v>35</v>
      </c>
      <c r="AG60" s="13">
        <v>38</v>
      </c>
      <c r="AH60" s="13" t="s">
        <v>109</v>
      </c>
      <c r="AI60" s="13" t="s">
        <v>100</v>
      </c>
      <c r="AJ60" s="13" t="s">
        <v>101</v>
      </c>
      <c r="AK60" s="13" t="s">
        <v>102</v>
      </c>
      <c r="AL60" s="13" t="s">
        <v>102</v>
      </c>
      <c r="AM60" s="13" t="s">
        <v>100</v>
      </c>
      <c r="AN60" s="13" t="s">
        <v>101</v>
      </c>
      <c r="AO60" s="13" t="s">
        <v>102</v>
      </c>
      <c r="AP60" s="13" t="s">
        <v>102</v>
      </c>
      <c r="AQ60" s="13">
        <v>55.42</v>
      </c>
      <c r="AR60" s="13">
        <v>17.9</v>
      </c>
      <c r="AS60" s="16">
        <f t="shared" si="2"/>
        <v>9.92018</v>
      </c>
      <c r="AT60" s="13">
        <v>38.8</v>
      </c>
      <c r="AU60" s="13">
        <v>234</v>
      </c>
      <c r="AV60" s="13">
        <v>303.28</v>
      </c>
      <c r="AW60" s="13">
        <v>67.9</v>
      </c>
      <c r="AX60" s="16">
        <f t="shared" si="3"/>
        <v>205.92712</v>
      </c>
      <c r="AY60" s="16">
        <f t="shared" si="9"/>
        <v>57.433073768</v>
      </c>
      <c r="AZ60" s="31">
        <v>1.3</v>
      </c>
      <c r="BA60" s="13">
        <v>0.11</v>
      </c>
      <c r="BB60" s="13">
        <v>1350</v>
      </c>
      <c r="BC60" s="13">
        <v>39.09</v>
      </c>
      <c r="BD60" s="13">
        <v>11.7</v>
      </c>
      <c r="BE60" s="16">
        <f t="shared" si="4"/>
        <v>4.57353</v>
      </c>
      <c r="BF60" s="13">
        <v>37.2</v>
      </c>
      <c r="BG60" s="13">
        <v>148</v>
      </c>
      <c r="BH60" s="31">
        <v>39.2</v>
      </c>
      <c r="BI60" s="13">
        <v>51.9</v>
      </c>
      <c r="BJ60" s="31">
        <v>1247.9</v>
      </c>
      <c r="BK60" s="31">
        <v>348</v>
      </c>
      <c r="BL60" s="31">
        <v>6.4</v>
      </c>
      <c r="BM60" s="13">
        <v>328989</v>
      </c>
      <c r="BN60" s="31">
        <v>99.3</v>
      </c>
      <c r="BO60" s="13" t="s">
        <v>103</v>
      </c>
      <c r="BP60" s="16">
        <f t="shared" si="14"/>
        <v>13.467</v>
      </c>
      <c r="BQ60" s="16">
        <f t="shared" si="15"/>
        <v>49.7898738556377</v>
      </c>
      <c r="BR60" s="16">
        <f t="shared" si="10"/>
        <v>42.9904159798941</v>
      </c>
      <c r="BS60" s="102">
        <f t="shared" si="16"/>
        <v>36.7521367521368</v>
      </c>
      <c r="BT60" s="13" t="s">
        <v>102</v>
      </c>
      <c r="BU60" s="13" t="s">
        <v>105</v>
      </c>
      <c r="BV60" s="12">
        <v>45830</v>
      </c>
      <c r="BW60" s="13" t="s">
        <v>105</v>
      </c>
      <c r="BX60" s="31">
        <v>6.4</v>
      </c>
      <c r="BY60" s="13" t="s">
        <v>103</v>
      </c>
      <c r="BZ60" s="13" t="s">
        <v>103</v>
      </c>
      <c r="CA60" s="13" t="s">
        <v>103</v>
      </c>
    </row>
    <row r="61" spans="1:79">
      <c r="A61" s="12">
        <v>45833</v>
      </c>
      <c r="B61" s="13">
        <v>25106041</v>
      </c>
      <c r="C61" s="13"/>
      <c r="D61" s="13"/>
      <c r="E61" s="13">
        <v>1</v>
      </c>
      <c r="F61" s="13" t="s">
        <v>91</v>
      </c>
      <c r="G61" s="13">
        <v>41</v>
      </c>
      <c r="H61" s="13">
        <v>41</v>
      </c>
      <c r="I61" s="13" t="s">
        <v>92</v>
      </c>
      <c r="J61" s="13" t="s">
        <v>93</v>
      </c>
      <c r="K61" s="13" t="s">
        <v>94</v>
      </c>
      <c r="L61" s="13">
        <v>900</v>
      </c>
      <c r="M61" s="13">
        <v>4</v>
      </c>
      <c r="N61" s="13" t="s">
        <v>103</v>
      </c>
      <c r="O61" s="13">
        <v>77</v>
      </c>
      <c r="P61" s="31">
        <v>1.75</v>
      </c>
      <c r="Q61" s="16">
        <f t="shared" si="0"/>
        <v>25.1428571428571</v>
      </c>
      <c r="R61" s="13">
        <v>77</v>
      </c>
      <c r="S61" s="13" t="s">
        <v>95</v>
      </c>
      <c r="T61" s="13">
        <v>234</v>
      </c>
      <c r="U61" s="13">
        <v>5049</v>
      </c>
      <c r="V61" s="16">
        <f t="shared" si="12"/>
        <v>3.50009902951079</v>
      </c>
      <c r="W61" s="87">
        <f t="shared" si="13"/>
        <v>16759</v>
      </c>
      <c r="X61" s="13">
        <v>17672</v>
      </c>
      <c r="Y61" s="13">
        <v>913</v>
      </c>
      <c r="Z61" s="13">
        <v>214</v>
      </c>
      <c r="AA61" s="13">
        <v>218.2</v>
      </c>
      <c r="AB61" s="13" t="s">
        <v>96</v>
      </c>
      <c r="AC61" s="13" t="s">
        <v>108</v>
      </c>
      <c r="AD61" s="13" t="s">
        <v>98</v>
      </c>
      <c r="AE61" s="13">
        <v>80</v>
      </c>
      <c r="AF61" s="13">
        <v>80</v>
      </c>
      <c r="AG61" s="13">
        <v>80</v>
      </c>
      <c r="AH61" s="13" t="s">
        <v>109</v>
      </c>
      <c r="AI61" s="13" t="s">
        <v>100</v>
      </c>
      <c r="AJ61" s="13" t="s">
        <v>101</v>
      </c>
      <c r="AK61" s="13" t="s">
        <v>102</v>
      </c>
      <c r="AL61" s="13">
        <v>107</v>
      </c>
      <c r="AM61" s="13" t="s">
        <v>100</v>
      </c>
      <c r="AN61" s="13" t="s">
        <v>101</v>
      </c>
      <c r="AO61" s="13" t="s">
        <v>102</v>
      </c>
      <c r="AP61" s="13">
        <v>107</v>
      </c>
      <c r="AQ61" s="13">
        <v>71.49</v>
      </c>
      <c r="AR61" s="13">
        <v>13.9</v>
      </c>
      <c r="AS61" s="16">
        <f t="shared" si="2"/>
        <v>9.93711</v>
      </c>
      <c r="AT61" s="13">
        <v>41.8</v>
      </c>
      <c r="AU61" s="13">
        <v>207</v>
      </c>
      <c r="AV61" s="13">
        <v>403.03</v>
      </c>
      <c r="AW61" s="13">
        <v>75.3</v>
      </c>
      <c r="AX61" s="16">
        <f t="shared" si="3"/>
        <v>303.48159</v>
      </c>
      <c r="AY61" s="16">
        <f t="shared" si="9"/>
        <v>66.219682938</v>
      </c>
      <c r="AZ61" s="31">
        <v>3.4</v>
      </c>
      <c r="BA61" s="13">
        <v>0.47</v>
      </c>
      <c r="BB61" s="13">
        <v>3542</v>
      </c>
      <c r="BC61" s="13">
        <v>56.58</v>
      </c>
      <c r="BD61" s="13">
        <v>8</v>
      </c>
      <c r="BE61" s="16">
        <f t="shared" si="4"/>
        <v>4.5264</v>
      </c>
      <c r="BF61" s="13">
        <v>40.1</v>
      </c>
      <c r="BG61" s="13">
        <v>100</v>
      </c>
      <c r="BH61" s="31">
        <v>37.8</v>
      </c>
      <c r="BI61" s="13">
        <v>51.1</v>
      </c>
      <c r="BJ61" s="31">
        <v>1907.8</v>
      </c>
      <c r="BK61" s="31">
        <v>416.2</v>
      </c>
      <c r="BL61" s="31">
        <v>5.4</v>
      </c>
      <c r="BM61" s="13">
        <v>411416</v>
      </c>
      <c r="BN61" s="31">
        <v>99.4</v>
      </c>
      <c r="BO61" s="13" t="s">
        <v>103</v>
      </c>
      <c r="BP61" s="16">
        <f t="shared" si="14"/>
        <v>16.759</v>
      </c>
      <c r="BQ61" s="16">
        <f t="shared" si="15"/>
        <v>48.5996425205536</v>
      </c>
      <c r="BR61" s="16">
        <f t="shared" si="10"/>
        <v>39.7629776173243</v>
      </c>
      <c r="BS61" s="102">
        <f t="shared" si="16"/>
        <v>51.6908212560387</v>
      </c>
      <c r="BT61" s="13" t="s">
        <v>102</v>
      </c>
      <c r="BU61" s="13" t="s">
        <v>105</v>
      </c>
      <c r="BV61" s="12">
        <v>45834</v>
      </c>
      <c r="BW61" s="13" t="s">
        <v>105</v>
      </c>
      <c r="BX61" s="31">
        <v>5.4</v>
      </c>
      <c r="BY61" s="13" t="s">
        <v>103</v>
      </c>
      <c r="BZ61" s="13" t="s">
        <v>103</v>
      </c>
      <c r="CA61" s="13" t="s">
        <v>103</v>
      </c>
    </row>
    <row r="62" spans="1:79">
      <c r="A62" s="12">
        <v>45842</v>
      </c>
      <c r="B62" s="13">
        <v>25107001</v>
      </c>
      <c r="C62" s="13"/>
      <c r="D62" s="13"/>
      <c r="E62" s="13">
        <v>1</v>
      </c>
      <c r="F62" s="13" t="s">
        <v>111</v>
      </c>
      <c r="G62" s="13">
        <v>32</v>
      </c>
      <c r="H62" s="13">
        <v>21</v>
      </c>
      <c r="I62" s="13" t="s">
        <v>120</v>
      </c>
      <c r="J62" s="13" t="s">
        <v>125</v>
      </c>
      <c r="K62" s="13" t="s">
        <v>94</v>
      </c>
      <c r="L62" s="13">
        <v>900</v>
      </c>
      <c r="M62" s="13">
        <v>4</v>
      </c>
      <c r="N62" s="13" t="s">
        <v>103</v>
      </c>
      <c r="O62" s="13">
        <v>71</v>
      </c>
      <c r="P62" s="31">
        <v>1.65</v>
      </c>
      <c r="Q62" s="16">
        <f t="shared" si="0"/>
        <v>26.078971533517</v>
      </c>
      <c r="R62" s="13">
        <v>51</v>
      </c>
      <c r="S62" s="13" t="s">
        <v>95</v>
      </c>
      <c r="T62" s="13">
        <v>111</v>
      </c>
      <c r="U62" s="13">
        <v>4132</v>
      </c>
      <c r="V62" s="16">
        <f t="shared" si="12"/>
        <v>2.00024201355276</v>
      </c>
      <c r="W62" s="87">
        <f t="shared" si="13"/>
        <v>7849</v>
      </c>
      <c r="X62" s="13">
        <v>8265</v>
      </c>
      <c r="Y62" s="13">
        <v>416</v>
      </c>
      <c r="Z62" s="13">
        <v>95</v>
      </c>
      <c r="AA62" s="13">
        <v>92.3</v>
      </c>
      <c r="AB62" s="13" t="s">
        <v>96</v>
      </c>
      <c r="AC62" s="13" t="s">
        <v>108</v>
      </c>
      <c r="AD62" s="13" t="s">
        <v>98</v>
      </c>
      <c r="AE62" s="13">
        <v>80</v>
      </c>
      <c r="AF62" s="13">
        <v>80</v>
      </c>
      <c r="AG62" s="13">
        <v>80</v>
      </c>
      <c r="AH62" s="13" t="s">
        <v>109</v>
      </c>
      <c r="AI62" s="13" t="s">
        <v>123</v>
      </c>
      <c r="AJ62" s="13" t="s">
        <v>102</v>
      </c>
      <c r="AK62" s="13" t="s">
        <v>102</v>
      </c>
      <c r="AL62" s="13">
        <v>189.7</v>
      </c>
      <c r="AM62" s="13" t="s">
        <v>136</v>
      </c>
      <c r="AN62" s="13" t="s">
        <v>102</v>
      </c>
      <c r="AO62" s="13" t="s">
        <v>102</v>
      </c>
      <c r="AP62" s="13">
        <v>95.8</v>
      </c>
      <c r="AQ62" s="13">
        <v>78.26</v>
      </c>
      <c r="AR62" s="13">
        <v>14.4</v>
      </c>
      <c r="AS62" s="16">
        <f t="shared" si="2"/>
        <v>11.26944</v>
      </c>
      <c r="AT62" s="13">
        <v>35.6</v>
      </c>
      <c r="AU62" s="13">
        <v>226</v>
      </c>
      <c r="AV62" s="13">
        <v>648.7</v>
      </c>
      <c r="AW62" s="13">
        <v>76</v>
      </c>
      <c r="AX62" s="16">
        <f t="shared" si="3"/>
        <v>493.012</v>
      </c>
      <c r="AY62" s="16">
        <f t="shared" si="9"/>
        <v>45.5050076</v>
      </c>
      <c r="AZ62" s="31">
        <v>5</v>
      </c>
      <c r="BA62" s="13">
        <v>0.4</v>
      </c>
      <c r="BB62" s="13">
        <v>2750</v>
      </c>
      <c r="BC62" s="13">
        <v>77.23</v>
      </c>
      <c r="BD62" s="13">
        <v>10</v>
      </c>
      <c r="BE62" s="16">
        <f t="shared" si="4"/>
        <v>7.723</v>
      </c>
      <c r="BF62" s="13">
        <v>33.5</v>
      </c>
      <c r="BG62" s="13">
        <v>152</v>
      </c>
      <c r="BH62" s="31">
        <v>101.6</v>
      </c>
      <c r="BI62" s="13">
        <v>153.9</v>
      </c>
      <c r="BJ62" s="31">
        <v>5263.2</v>
      </c>
      <c r="BK62" s="31">
        <v>485.7</v>
      </c>
      <c r="BL62" s="31">
        <v>9.5</v>
      </c>
      <c r="BM62" s="13">
        <v>575957</v>
      </c>
      <c r="BN62" s="31">
        <v>99</v>
      </c>
      <c r="BO62" s="13" t="s">
        <v>103</v>
      </c>
      <c r="BP62" s="16">
        <f t="shared" si="14"/>
        <v>7.849</v>
      </c>
      <c r="BQ62" s="16">
        <f t="shared" si="15"/>
        <v>40.2082484278674</v>
      </c>
      <c r="BR62" s="16">
        <f t="shared" si="10"/>
        <v>51.4449235879458</v>
      </c>
      <c r="BS62" s="102">
        <f t="shared" si="16"/>
        <v>32.7433628318584</v>
      </c>
      <c r="BT62" s="13" t="s">
        <v>102</v>
      </c>
      <c r="BU62" s="13" t="s">
        <v>105</v>
      </c>
      <c r="BV62" s="12">
        <v>45844</v>
      </c>
      <c r="BW62" s="13" t="s">
        <v>105</v>
      </c>
      <c r="BX62" s="31">
        <v>8</v>
      </c>
      <c r="BY62" s="13" t="s">
        <v>103</v>
      </c>
      <c r="BZ62" s="13" t="s">
        <v>103</v>
      </c>
      <c r="CA62" s="13" t="s">
        <v>103</v>
      </c>
    </row>
    <row r="63" spans="1:79">
      <c r="A63" s="12">
        <v>45849</v>
      </c>
      <c r="B63" s="13">
        <v>25107002</v>
      </c>
      <c r="C63" s="13"/>
      <c r="D63" s="13"/>
      <c r="E63" s="13">
        <v>1</v>
      </c>
      <c r="F63" s="13" t="s">
        <v>91</v>
      </c>
      <c r="G63" s="13">
        <v>63</v>
      </c>
      <c r="H63" s="13">
        <v>63</v>
      </c>
      <c r="I63" s="13" t="s">
        <v>92</v>
      </c>
      <c r="J63" s="13" t="s">
        <v>117</v>
      </c>
      <c r="K63" s="13" t="s">
        <v>94</v>
      </c>
      <c r="L63" s="13">
        <v>900</v>
      </c>
      <c r="M63" s="13">
        <v>7</v>
      </c>
      <c r="N63" s="13" t="s">
        <v>103</v>
      </c>
      <c r="O63" s="13">
        <v>103</v>
      </c>
      <c r="P63" s="31">
        <v>1.88</v>
      </c>
      <c r="Q63" s="16">
        <f t="shared" si="0"/>
        <v>29.1421457673155</v>
      </c>
      <c r="R63" s="13">
        <v>103</v>
      </c>
      <c r="S63" s="13" t="s">
        <v>95</v>
      </c>
      <c r="T63" s="13">
        <v>246</v>
      </c>
      <c r="U63" s="13">
        <v>6358</v>
      </c>
      <c r="V63" s="16">
        <f t="shared" ref="V63:V96" si="17">X63/U63</f>
        <v>3.5001572821642</v>
      </c>
      <c r="W63" s="87">
        <f t="shared" ref="W63:W104" si="18">X63-Y63</f>
        <v>21171</v>
      </c>
      <c r="X63" s="13">
        <v>22254</v>
      </c>
      <c r="Y63" s="13">
        <v>1083</v>
      </c>
      <c r="Z63" s="13">
        <v>253</v>
      </c>
      <c r="AA63" s="13">
        <v>247.82</v>
      </c>
      <c r="AB63" s="13" t="s">
        <v>96</v>
      </c>
      <c r="AC63" s="13" t="s">
        <v>97</v>
      </c>
      <c r="AD63" s="13" t="s">
        <v>98</v>
      </c>
      <c r="AE63" s="13">
        <v>80</v>
      </c>
      <c r="AF63" s="13">
        <v>85</v>
      </c>
      <c r="AG63" s="13">
        <v>90</v>
      </c>
      <c r="AH63" s="13" t="s">
        <v>99</v>
      </c>
      <c r="AI63" s="13" t="s">
        <v>100</v>
      </c>
      <c r="AJ63" s="13" t="s">
        <v>101</v>
      </c>
      <c r="AK63" s="13" t="s">
        <v>102</v>
      </c>
      <c r="AL63" s="13" t="s">
        <v>102</v>
      </c>
      <c r="AM63" s="13" t="s">
        <v>100</v>
      </c>
      <c r="AN63" s="13" t="s">
        <v>101</v>
      </c>
      <c r="AO63" s="13" t="s">
        <v>102</v>
      </c>
      <c r="AP63" s="13" t="s">
        <v>102</v>
      </c>
      <c r="AQ63" s="13">
        <v>2.99</v>
      </c>
      <c r="AR63" s="13">
        <v>64.9</v>
      </c>
      <c r="AS63" s="16">
        <f t="shared" si="2"/>
        <v>1.94051</v>
      </c>
      <c r="AT63" s="13">
        <v>38.3</v>
      </c>
      <c r="AU63" s="13">
        <v>98</v>
      </c>
      <c r="AV63" s="13">
        <v>224.18</v>
      </c>
      <c r="AW63" s="13">
        <v>34.2</v>
      </c>
      <c r="AX63" s="16">
        <f t="shared" si="3"/>
        <v>76.66956</v>
      </c>
      <c r="AY63" s="16">
        <f t="shared" si="9"/>
        <v>19.0002503592</v>
      </c>
      <c r="AZ63" s="31">
        <v>1.9</v>
      </c>
      <c r="BA63" s="13">
        <v>0.14</v>
      </c>
      <c r="BB63" s="13">
        <v>1481</v>
      </c>
      <c r="BC63" s="13">
        <v>5.23</v>
      </c>
      <c r="BD63" s="13">
        <v>38</v>
      </c>
      <c r="BE63" s="16">
        <f t="shared" si="4"/>
        <v>1.9874</v>
      </c>
      <c r="BF63" s="13">
        <v>35.4</v>
      </c>
      <c r="BG63" s="13">
        <v>72</v>
      </c>
      <c r="BH63" s="31" t="s">
        <v>103</v>
      </c>
      <c r="BI63" s="13">
        <v>51.9</v>
      </c>
      <c r="BJ63" s="31">
        <v>5124.6</v>
      </c>
      <c r="BK63" s="31">
        <v>1269.9</v>
      </c>
      <c r="BL63" s="31">
        <v>12.3</v>
      </c>
      <c r="BM63" s="13">
        <v>237785</v>
      </c>
      <c r="BN63" s="31">
        <v>99.2</v>
      </c>
      <c r="BO63" s="13" t="s">
        <v>103</v>
      </c>
      <c r="BP63" s="16">
        <f t="shared" si="14"/>
        <v>21.171</v>
      </c>
      <c r="BQ63" s="16">
        <f t="shared" si="15"/>
        <v>115.574172653562</v>
      </c>
      <c r="BR63" s="16">
        <f t="shared" si="10"/>
        <v>46.2489701209961</v>
      </c>
      <c r="BS63" s="102">
        <f t="shared" si="16"/>
        <v>26.530612244898</v>
      </c>
      <c r="BT63" s="13" t="s">
        <v>102</v>
      </c>
      <c r="BU63" s="13" t="s">
        <v>119</v>
      </c>
      <c r="BV63" s="12">
        <v>45852</v>
      </c>
      <c r="BW63" s="13" t="s">
        <v>119</v>
      </c>
      <c r="BX63" s="31">
        <v>12.3</v>
      </c>
      <c r="BY63" s="13" t="s">
        <v>103</v>
      </c>
      <c r="BZ63" s="13" t="s">
        <v>103</v>
      </c>
      <c r="CA63" s="13" t="s">
        <v>103</v>
      </c>
    </row>
    <row r="64" spans="1:79">
      <c r="A64" s="12">
        <v>45850</v>
      </c>
      <c r="B64" s="13">
        <v>25107003</v>
      </c>
      <c r="C64" s="13"/>
      <c r="D64" s="13"/>
      <c r="E64" s="13">
        <v>1</v>
      </c>
      <c r="F64" s="13" t="s">
        <v>111</v>
      </c>
      <c r="G64" s="13">
        <v>39</v>
      </c>
      <c r="H64" s="13">
        <v>39</v>
      </c>
      <c r="I64" s="13" t="s">
        <v>92</v>
      </c>
      <c r="J64" s="13" t="s">
        <v>149</v>
      </c>
      <c r="K64" s="13" t="s">
        <v>94</v>
      </c>
      <c r="L64" s="13">
        <v>600</v>
      </c>
      <c r="M64" s="13">
        <v>7</v>
      </c>
      <c r="N64" s="13" t="s">
        <v>103</v>
      </c>
      <c r="O64" s="13">
        <v>53.5</v>
      </c>
      <c r="P64" s="31">
        <v>1.64</v>
      </c>
      <c r="Q64" s="16">
        <f t="shared" si="0"/>
        <v>19.8914336704343</v>
      </c>
      <c r="R64" s="13">
        <v>53.5</v>
      </c>
      <c r="S64" s="13" t="s">
        <v>95</v>
      </c>
      <c r="T64" s="13">
        <v>133</v>
      </c>
      <c r="U64" s="13">
        <v>3540</v>
      </c>
      <c r="V64" s="16">
        <f t="shared" si="17"/>
        <v>2</v>
      </c>
      <c r="W64" s="87">
        <f t="shared" si="18"/>
        <v>6574</v>
      </c>
      <c r="X64" s="13">
        <v>7080</v>
      </c>
      <c r="Y64" s="13">
        <v>506</v>
      </c>
      <c r="Z64" s="13">
        <v>108</v>
      </c>
      <c r="AA64" s="13">
        <v>99.1</v>
      </c>
      <c r="AB64" s="13" t="s">
        <v>96</v>
      </c>
      <c r="AC64" s="13" t="s">
        <v>108</v>
      </c>
      <c r="AD64" s="13" t="s">
        <v>98</v>
      </c>
      <c r="AE64" s="13">
        <v>57</v>
      </c>
      <c r="AF64" s="13">
        <v>60</v>
      </c>
      <c r="AG64" s="13">
        <v>63</v>
      </c>
      <c r="AH64" s="13" t="s">
        <v>99</v>
      </c>
      <c r="AI64" s="13" t="s">
        <v>123</v>
      </c>
      <c r="AJ64" s="13" t="s">
        <v>101</v>
      </c>
      <c r="AK64" s="13" t="s">
        <v>102</v>
      </c>
      <c r="AL64" s="13" t="s">
        <v>113</v>
      </c>
      <c r="AM64" s="13" t="s">
        <v>123</v>
      </c>
      <c r="AN64" s="13" t="s">
        <v>101</v>
      </c>
      <c r="AO64" s="13" t="s">
        <v>102</v>
      </c>
      <c r="AP64" s="13" t="s">
        <v>113</v>
      </c>
      <c r="AQ64" s="13">
        <v>16.96</v>
      </c>
      <c r="AR64" s="13">
        <v>13.4</v>
      </c>
      <c r="AS64" s="16">
        <f t="shared" si="2"/>
        <v>2.27264</v>
      </c>
      <c r="AT64" s="13">
        <v>30.9</v>
      </c>
      <c r="AU64" s="13">
        <v>76</v>
      </c>
      <c r="AV64" s="13">
        <v>178.72</v>
      </c>
      <c r="AW64" s="13">
        <v>29.3</v>
      </c>
      <c r="AX64" s="16">
        <f t="shared" si="3"/>
        <v>52.36496</v>
      </c>
      <c r="AY64" s="16">
        <f t="shared" si="9"/>
        <v>5.189367536</v>
      </c>
      <c r="AZ64" s="31">
        <v>1.4</v>
      </c>
      <c r="BA64" s="13">
        <v>0.16</v>
      </c>
      <c r="BB64" s="13">
        <v>438</v>
      </c>
      <c r="BC64" s="13">
        <v>16.38</v>
      </c>
      <c r="BD64" s="13">
        <v>9.4</v>
      </c>
      <c r="BE64" s="16">
        <f t="shared" si="4"/>
        <v>1.53972</v>
      </c>
      <c r="BF64" s="13">
        <v>28.3</v>
      </c>
      <c r="BG64" s="13">
        <v>42</v>
      </c>
      <c r="BH64" s="31">
        <v>12</v>
      </c>
      <c r="BI64" s="13">
        <v>76.9</v>
      </c>
      <c r="BJ64" s="31">
        <v>2875.8</v>
      </c>
      <c r="BK64" s="31">
        <v>284.9</v>
      </c>
      <c r="BL64" s="31">
        <v>5.3</v>
      </c>
      <c r="BM64" s="13">
        <v>205505</v>
      </c>
      <c r="BN64" s="31">
        <v>99.9</v>
      </c>
      <c r="BO64" s="13" t="s">
        <v>103</v>
      </c>
      <c r="BP64" s="16">
        <f t="shared" si="14"/>
        <v>6.574</v>
      </c>
      <c r="BQ64" s="16">
        <f t="shared" si="15"/>
        <v>56.3555132861733</v>
      </c>
      <c r="BR64" s="16">
        <f t="shared" si="10"/>
        <v>34.733942786141</v>
      </c>
      <c r="BS64" s="102">
        <f t="shared" si="16"/>
        <v>44.7368421052632</v>
      </c>
      <c r="BT64" s="13" t="s">
        <v>102</v>
      </c>
      <c r="BU64" s="13" t="s">
        <v>119</v>
      </c>
      <c r="BV64" s="12">
        <v>45852</v>
      </c>
      <c r="BW64" s="13" t="s">
        <v>119</v>
      </c>
      <c r="BX64" s="31">
        <v>5.3</v>
      </c>
      <c r="BY64" s="13" t="s">
        <v>103</v>
      </c>
      <c r="BZ64" s="13" t="s">
        <v>103</v>
      </c>
      <c r="CA64" s="13" t="s">
        <v>103</v>
      </c>
    </row>
    <row r="65" spans="1:79">
      <c r="A65" s="12">
        <v>45854</v>
      </c>
      <c r="B65" s="13">
        <v>25107004</v>
      </c>
      <c r="C65" s="13"/>
      <c r="D65" s="13"/>
      <c r="E65" s="13">
        <v>1</v>
      </c>
      <c r="F65" s="13" t="s">
        <v>111</v>
      </c>
      <c r="G65" s="13">
        <v>49</v>
      </c>
      <c r="H65" s="13">
        <v>49</v>
      </c>
      <c r="I65" s="13" t="s">
        <v>92</v>
      </c>
      <c r="J65" s="13" t="s">
        <v>93</v>
      </c>
      <c r="K65" s="13" t="s">
        <v>94</v>
      </c>
      <c r="L65" s="13">
        <v>600</v>
      </c>
      <c r="M65" s="13">
        <v>4</v>
      </c>
      <c r="N65" s="13" t="s">
        <v>103</v>
      </c>
      <c r="O65" s="13">
        <v>60</v>
      </c>
      <c r="P65" s="31">
        <v>1.52</v>
      </c>
      <c r="Q65" s="16">
        <f t="shared" si="0"/>
        <v>25.9695290858726</v>
      </c>
      <c r="R65" s="13">
        <v>60</v>
      </c>
      <c r="S65" s="13" t="s">
        <v>95</v>
      </c>
      <c r="T65" s="13">
        <v>252</v>
      </c>
      <c r="U65" s="13">
        <v>3419</v>
      </c>
      <c r="V65" s="16">
        <f t="shared" si="17"/>
        <v>5</v>
      </c>
      <c r="W65" s="87">
        <f t="shared" si="18"/>
        <v>16205</v>
      </c>
      <c r="X65" s="13">
        <v>17095</v>
      </c>
      <c r="Y65" s="13">
        <v>890</v>
      </c>
      <c r="Z65" s="13">
        <v>234</v>
      </c>
      <c r="AA65" s="13">
        <v>222.8</v>
      </c>
      <c r="AB65" s="13" t="s">
        <v>96</v>
      </c>
      <c r="AC65" s="13" t="s">
        <v>108</v>
      </c>
      <c r="AD65" s="13" t="s">
        <v>98</v>
      </c>
      <c r="AE65" s="13">
        <v>61.8</v>
      </c>
      <c r="AF65" s="13">
        <v>70.9</v>
      </c>
      <c r="AG65" s="13">
        <v>70</v>
      </c>
      <c r="AH65" s="13" t="s">
        <v>109</v>
      </c>
      <c r="AI65" s="13" t="s">
        <v>100</v>
      </c>
      <c r="AJ65" s="13" t="s">
        <v>101</v>
      </c>
      <c r="AK65" s="13" t="s">
        <v>102</v>
      </c>
      <c r="AL65" s="13" t="s">
        <v>113</v>
      </c>
      <c r="AM65" s="13" t="s">
        <v>100</v>
      </c>
      <c r="AN65" s="13" t="s">
        <v>101</v>
      </c>
      <c r="AO65" s="13" t="s">
        <v>102</v>
      </c>
      <c r="AP65" s="13" t="s">
        <v>113</v>
      </c>
      <c r="AQ65" s="13">
        <v>64.47</v>
      </c>
      <c r="AR65" s="13">
        <v>17.6</v>
      </c>
      <c r="AS65" s="16">
        <f t="shared" si="2"/>
        <v>11.34672</v>
      </c>
      <c r="AT65" s="13">
        <v>35.5</v>
      </c>
      <c r="AU65" s="13">
        <v>349</v>
      </c>
      <c r="AV65" s="13">
        <v>312.26</v>
      </c>
      <c r="AW65" s="13">
        <v>79.8</v>
      </c>
      <c r="AX65" s="16">
        <f t="shared" si="3"/>
        <v>249.18348</v>
      </c>
      <c r="AY65" s="16">
        <f t="shared" si="9"/>
        <v>55.518079344</v>
      </c>
      <c r="AZ65" s="31">
        <v>3.1</v>
      </c>
      <c r="BA65" s="13">
        <v>0.31</v>
      </c>
      <c r="BB65" s="13">
        <v>3173</v>
      </c>
      <c r="BC65" s="13">
        <v>65.45</v>
      </c>
      <c r="BD65" s="13">
        <v>10.6</v>
      </c>
      <c r="BE65" s="16">
        <f t="shared" si="4"/>
        <v>6.9377</v>
      </c>
      <c r="BF65" s="13">
        <v>33.7</v>
      </c>
      <c r="BG65" s="13">
        <v>187</v>
      </c>
      <c r="BH65" s="31">
        <v>23.1</v>
      </c>
      <c r="BI65" s="13">
        <v>45</v>
      </c>
      <c r="BJ65" s="31">
        <v>1234.6</v>
      </c>
      <c r="BK65" s="31">
        <v>275</v>
      </c>
      <c r="BL65" s="31">
        <v>4.5</v>
      </c>
      <c r="BM65" s="13">
        <v>338167</v>
      </c>
      <c r="BN65" s="31">
        <v>99.6</v>
      </c>
      <c r="BO65" s="13" t="s">
        <v>103</v>
      </c>
      <c r="BP65" s="16">
        <f t="shared" si="14"/>
        <v>16.205</v>
      </c>
      <c r="BQ65" s="16">
        <f t="shared" si="15"/>
        <v>37.7112688127807</v>
      </c>
      <c r="BR65" s="16">
        <f t="shared" si="10"/>
        <v>30.1936113007233</v>
      </c>
      <c r="BS65" s="102">
        <f t="shared" si="16"/>
        <v>46.4183381088825</v>
      </c>
      <c r="BT65" s="13" t="s">
        <v>102</v>
      </c>
      <c r="BU65" s="13" t="s">
        <v>105</v>
      </c>
      <c r="BV65" s="12">
        <v>45855</v>
      </c>
      <c r="BW65" s="13" t="s">
        <v>105</v>
      </c>
      <c r="BX65" s="31">
        <v>4.5</v>
      </c>
      <c r="BY65" s="13" t="s">
        <v>103</v>
      </c>
      <c r="BZ65" s="13" t="s">
        <v>103</v>
      </c>
      <c r="CA65" s="13" t="s">
        <v>103</v>
      </c>
    </row>
    <row r="66" spans="1:79">
      <c r="A66" s="12">
        <v>45854</v>
      </c>
      <c r="B66" s="13">
        <v>25107005</v>
      </c>
      <c r="C66" s="13"/>
      <c r="D66" s="13"/>
      <c r="E66" s="13">
        <v>1</v>
      </c>
      <c r="F66" s="13" t="s">
        <v>91</v>
      </c>
      <c r="G66" s="13">
        <v>41</v>
      </c>
      <c r="H66" s="13">
        <v>41</v>
      </c>
      <c r="I66" s="13" t="s">
        <v>92</v>
      </c>
      <c r="J66" s="13" t="s">
        <v>93</v>
      </c>
      <c r="K66" s="13" t="s">
        <v>94</v>
      </c>
      <c r="L66" s="13">
        <v>600</v>
      </c>
      <c r="M66" s="13">
        <v>4</v>
      </c>
      <c r="N66" s="13">
        <v>0.24</v>
      </c>
      <c r="O66" s="13">
        <v>61</v>
      </c>
      <c r="P66" s="31">
        <v>1.58</v>
      </c>
      <c r="Q66" s="16">
        <f t="shared" ref="Q66:Q119" si="19">O66/(P66*P66)</f>
        <v>24.4351866688031</v>
      </c>
      <c r="R66" s="13">
        <v>61</v>
      </c>
      <c r="S66" s="13" t="s">
        <v>95</v>
      </c>
      <c r="T66" s="13">
        <v>231</v>
      </c>
      <c r="U66" s="13">
        <v>4015</v>
      </c>
      <c r="V66" s="16">
        <f t="shared" si="17"/>
        <v>4.30012453300125</v>
      </c>
      <c r="W66" s="87">
        <f t="shared" si="18"/>
        <v>16420</v>
      </c>
      <c r="X66" s="13">
        <v>17265</v>
      </c>
      <c r="Y66" s="13">
        <v>845</v>
      </c>
      <c r="Z66" s="13">
        <v>213</v>
      </c>
      <c r="AA66" s="13">
        <v>221.8</v>
      </c>
      <c r="AB66" s="13" t="s">
        <v>96</v>
      </c>
      <c r="AC66" s="13" t="s">
        <v>97</v>
      </c>
      <c r="AD66" s="13" t="s">
        <v>98</v>
      </c>
      <c r="AE66" s="13">
        <v>70</v>
      </c>
      <c r="AF66" s="13">
        <v>77.5</v>
      </c>
      <c r="AG66" s="13">
        <v>85</v>
      </c>
      <c r="AH66" s="13" t="s">
        <v>99</v>
      </c>
      <c r="AI66" s="13" t="s">
        <v>100</v>
      </c>
      <c r="AJ66" s="13" t="s">
        <v>101</v>
      </c>
      <c r="AK66" s="13" t="s">
        <v>102</v>
      </c>
      <c r="AL66" s="13" t="s">
        <v>113</v>
      </c>
      <c r="AM66" s="13" t="s">
        <v>100</v>
      </c>
      <c r="AN66" s="13" t="s">
        <v>101</v>
      </c>
      <c r="AO66" s="13" t="s">
        <v>102</v>
      </c>
      <c r="AP66" s="13" t="s">
        <v>113</v>
      </c>
      <c r="AQ66" s="13">
        <v>35.57</v>
      </c>
      <c r="AR66" s="13">
        <v>25.9</v>
      </c>
      <c r="AS66" s="16">
        <f t="shared" ref="AS66:AS97" si="20">AR66*AQ66/100</f>
        <v>9.21263</v>
      </c>
      <c r="AT66" s="13">
        <v>42</v>
      </c>
      <c r="AU66" s="13">
        <v>162</v>
      </c>
      <c r="AV66" s="13">
        <v>429.05</v>
      </c>
      <c r="AW66" s="13">
        <v>83.7</v>
      </c>
      <c r="AX66" s="16">
        <f t="shared" ref="AX66:AX117" si="21">AW66*AV66/100</f>
        <v>359.11485</v>
      </c>
      <c r="AY66" s="16">
        <f t="shared" si="9"/>
        <v>79.65167373</v>
      </c>
      <c r="AZ66" s="31">
        <v>1.7</v>
      </c>
      <c r="BA66" s="13">
        <v>0.14</v>
      </c>
      <c r="BB66" s="13">
        <v>1551</v>
      </c>
      <c r="BC66" s="13">
        <v>32.19</v>
      </c>
      <c r="BD66" s="13">
        <v>14.2</v>
      </c>
      <c r="BE66" s="16">
        <f t="shared" ref="BE66:BE117" si="22">BD66*BC66/100</f>
        <v>4.57098</v>
      </c>
      <c r="BF66" s="13">
        <v>44.2</v>
      </c>
      <c r="BG66" s="13">
        <v>101</v>
      </c>
      <c r="BH66" s="31">
        <v>10.5</v>
      </c>
      <c r="BI66" s="13">
        <v>55.6</v>
      </c>
      <c r="BJ66" s="31">
        <v>2560.3</v>
      </c>
      <c r="BK66" s="31">
        <v>567.8</v>
      </c>
      <c r="BL66" s="31">
        <v>9.3</v>
      </c>
      <c r="BM66" s="13">
        <v>445404</v>
      </c>
      <c r="BN66" s="31">
        <v>99.6</v>
      </c>
      <c r="BO66" s="13" t="s">
        <v>103</v>
      </c>
      <c r="BP66" s="16">
        <f t="shared" si="14"/>
        <v>16.42</v>
      </c>
      <c r="BQ66" s="16">
        <f t="shared" si="15"/>
        <v>62.1938502790946</v>
      </c>
      <c r="BR66" s="16">
        <f t="shared" si="10"/>
        <v>52.6548189802184</v>
      </c>
      <c r="BS66" s="102">
        <f t="shared" si="16"/>
        <v>37.6543209876543</v>
      </c>
      <c r="BT66" s="13" t="s">
        <v>102</v>
      </c>
      <c r="BU66" s="13" t="s">
        <v>105</v>
      </c>
      <c r="BV66" s="12">
        <v>45855</v>
      </c>
      <c r="BW66" s="13" t="s">
        <v>105</v>
      </c>
      <c r="BX66" s="31">
        <v>9.3</v>
      </c>
      <c r="BY66" s="13" t="s">
        <v>103</v>
      </c>
      <c r="BZ66" s="13" t="s">
        <v>103</v>
      </c>
      <c r="CA66" s="13" t="s">
        <v>103</v>
      </c>
    </row>
    <row r="67" spans="1:79">
      <c r="A67" s="12">
        <v>45856</v>
      </c>
      <c r="B67" s="13">
        <v>25107006</v>
      </c>
      <c r="C67" s="13"/>
      <c r="D67" s="13"/>
      <c r="E67" s="13">
        <v>1</v>
      </c>
      <c r="F67" s="13" t="s">
        <v>91</v>
      </c>
      <c r="G67" s="13">
        <v>56</v>
      </c>
      <c r="H67" s="13">
        <v>25</v>
      </c>
      <c r="I67" s="13" t="s">
        <v>124</v>
      </c>
      <c r="J67" s="13" t="s">
        <v>112</v>
      </c>
      <c r="K67" s="13" t="s">
        <v>94</v>
      </c>
      <c r="L67" s="13">
        <v>900</v>
      </c>
      <c r="M67" s="13">
        <v>3</v>
      </c>
      <c r="N67" s="13" t="s">
        <v>103</v>
      </c>
      <c r="O67" s="13">
        <v>101</v>
      </c>
      <c r="P67" s="31">
        <v>1.72</v>
      </c>
      <c r="Q67" s="16">
        <f t="shared" si="19"/>
        <v>34.1400757166036</v>
      </c>
      <c r="R67" s="13">
        <v>67.3</v>
      </c>
      <c r="S67" s="13" t="s">
        <v>95</v>
      </c>
      <c r="T67" s="13">
        <v>327</v>
      </c>
      <c r="U67" s="13">
        <v>5722</v>
      </c>
      <c r="V67" s="16">
        <f t="shared" si="17"/>
        <v>2.84900384480951</v>
      </c>
      <c r="W67" s="87">
        <f t="shared" si="18"/>
        <v>15503</v>
      </c>
      <c r="X67" s="13">
        <v>16302</v>
      </c>
      <c r="Y67" s="13">
        <v>799</v>
      </c>
      <c r="Z67" s="13">
        <v>281</v>
      </c>
      <c r="AA67" s="13">
        <v>275.8</v>
      </c>
      <c r="AB67" s="13" t="s">
        <v>96</v>
      </c>
      <c r="AC67" s="13" t="s">
        <v>108</v>
      </c>
      <c r="AD67" s="13" t="s">
        <v>122</v>
      </c>
      <c r="AE67" s="13">
        <v>50</v>
      </c>
      <c r="AF67" s="13">
        <v>55</v>
      </c>
      <c r="AG67" s="13">
        <v>57</v>
      </c>
      <c r="AH67" s="13" t="s">
        <v>134</v>
      </c>
      <c r="AI67" s="13" t="s">
        <v>136</v>
      </c>
      <c r="AJ67" s="13" t="s">
        <v>102</v>
      </c>
      <c r="AK67" s="13" t="s">
        <v>102</v>
      </c>
      <c r="AL67" s="13" t="s">
        <v>102</v>
      </c>
      <c r="AM67" s="13" t="s">
        <v>150</v>
      </c>
      <c r="AN67" s="13" t="s">
        <v>102</v>
      </c>
      <c r="AO67" s="13" t="s">
        <v>102</v>
      </c>
      <c r="AP67" s="13">
        <v>95.3</v>
      </c>
      <c r="AQ67" s="13">
        <v>48.39</v>
      </c>
      <c r="AR67" s="13">
        <v>18.2</v>
      </c>
      <c r="AS67" s="16">
        <f t="shared" si="20"/>
        <v>8.80698</v>
      </c>
      <c r="AT67" s="13">
        <v>42.8</v>
      </c>
      <c r="AU67" s="13">
        <v>272</v>
      </c>
      <c r="AV67" s="13">
        <v>253.8</v>
      </c>
      <c r="AW67" s="13">
        <v>86.3</v>
      </c>
      <c r="AX67" s="16">
        <f t="shared" si="21"/>
        <v>219.0294</v>
      </c>
      <c r="AY67" s="16">
        <f t="shared" ref="AY67:AY117" si="23">(AX67*AA67)/1000</f>
        <v>60.40830852</v>
      </c>
      <c r="AZ67" s="31">
        <v>2</v>
      </c>
      <c r="BA67" s="13">
        <v>0.27</v>
      </c>
      <c r="BB67" s="13">
        <v>3207</v>
      </c>
      <c r="BC67" s="13">
        <v>46.92</v>
      </c>
      <c r="BD67" s="13">
        <v>12.5</v>
      </c>
      <c r="BE67" s="16">
        <f t="shared" si="22"/>
        <v>5.865</v>
      </c>
      <c r="BF67" s="13">
        <v>41.7</v>
      </c>
      <c r="BG67" s="13">
        <v>146</v>
      </c>
      <c r="BH67" s="31" t="s">
        <v>103</v>
      </c>
      <c r="BI67" s="13">
        <v>64.7</v>
      </c>
      <c r="BJ67" s="31">
        <v>2618.9</v>
      </c>
      <c r="BK67" s="31">
        <v>722.2</v>
      </c>
      <c r="BL67" s="31">
        <v>10.7</v>
      </c>
      <c r="BM67" s="13">
        <v>247099</v>
      </c>
      <c r="BN67" s="31">
        <v>99.1</v>
      </c>
      <c r="BO67" s="13" t="s">
        <v>103</v>
      </c>
      <c r="BP67" s="16">
        <f t="shared" si="14"/>
        <v>15.503</v>
      </c>
      <c r="BQ67" s="16">
        <f t="shared" si="15"/>
        <v>72.0008222968462</v>
      </c>
      <c r="BR67" s="16">
        <f t="shared" ref="BR67:BR118" si="24">(AY67/(AS67*BP67))*100</f>
        <v>44.2439525803068</v>
      </c>
      <c r="BS67" s="102">
        <f t="shared" si="16"/>
        <v>46.3235294117647</v>
      </c>
      <c r="BT67" s="13" t="s">
        <v>102</v>
      </c>
      <c r="BU67" s="13" t="s">
        <v>105</v>
      </c>
      <c r="BV67" s="12">
        <v>45859</v>
      </c>
      <c r="BW67" s="13" t="s">
        <v>105</v>
      </c>
      <c r="BX67" s="31">
        <v>10.7</v>
      </c>
      <c r="BY67" s="13" t="s">
        <v>103</v>
      </c>
      <c r="BZ67" s="13" t="s">
        <v>103</v>
      </c>
      <c r="CA67" s="13" t="s">
        <v>103</v>
      </c>
    </row>
    <row r="68" spans="1:79">
      <c r="A68" s="12">
        <v>45863</v>
      </c>
      <c r="B68" s="13">
        <v>25107008</v>
      </c>
      <c r="C68" s="13"/>
      <c r="D68" s="13"/>
      <c r="E68" s="13">
        <v>1</v>
      </c>
      <c r="F68" s="13" t="s">
        <v>111</v>
      </c>
      <c r="G68" s="13">
        <v>10</v>
      </c>
      <c r="H68" s="13">
        <v>10</v>
      </c>
      <c r="I68" s="13" t="s">
        <v>92</v>
      </c>
      <c r="J68" s="13" t="s">
        <v>115</v>
      </c>
      <c r="K68" s="13" t="s">
        <v>135</v>
      </c>
      <c r="L68" s="13">
        <v>600</v>
      </c>
      <c r="M68" s="13">
        <v>7</v>
      </c>
      <c r="N68" s="13">
        <v>0.12</v>
      </c>
      <c r="O68" s="13">
        <v>50</v>
      </c>
      <c r="P68" s="31">
        <v>1.34</v>
      </c>
      <c r="Q68" s="16">
        <f t="shared" si="19"/>
        <v>27.8458453998663</v>
      </c>
      <c r="R68" s="13">
        <v>50</v>
      </c>
      <c r="S68" s="13" t="s">
        <v>95</v>
      </c>
      <c r="T68" s="13">
        <v>237</v>
      </c>
      <c r="U68" s="13">
        <v>2694</v>
      </c>
      <c r="V68" s="16">
        <f t="shared" si="17"/>
        <v>4</v>
      </c>
      <c r="W68" s="87">
        <f t="shared" si="18"/>
        <v>10237</v>
      </c>
      <c r="X68" s="13">
        <v>10776</v>
      </c>
      <c r="Y68" s="13">
        <v>539</v>
      </c>
      <c r="Z68" s="13">
        <v>184</v>
      </c>
      <c r="AA68" s="13">
        <v>176.3</v>
      </c>
      <c r="AB68" s="13" t="s">
        <v>96</v>
      </c>
      <c r="AC68" s="13" t="s">
        <v>108</v>
      </c>
      <c r="AD68" s="13" t="s">
        <v>98</v>
      </c>
      <c r="AE68" s="13">
        <v>45</v>
      </c>
      <c r="AF68" s="13">
        <v>47.5</v>
      </c>
      <c r="AG68" s="13">
        <v>50</v>
      </c>
      <c r="AH68" s="13" t="s">
        <v>151</v>
      </c>
      <c r="AI68" s="13" t="s">
        <v>100</v>
      </c>
      <c r="AJ68" s="13" t="s">
        <v>101</v>
      </c>
      <c r="AK68" s="13" t="s">
        <v>102</v>
      </c>
      <c r="AL68" s="13" t="s">
        <v>102</v>
      </c>
      <c r="AM68" s="13" t="s">
        <v>100</v>
      </c>
      <c r="AN68" s="13" t="s">
        <v>101</v>
      </c>
      <c r="AO68" s="13" t="s">
        <v>102</v>
      </c>
      <c r="AP68" s="13" t="s">
        <v>102</v>
      </c>
      <c r="AQ68" s="13">
        <v>9.88</v>
      </c>
      <c r="AR68" s="13">
        <v>22.8</v>
      </c>
      <c r="AS68" s="16">
        <f t="shared" si="20"/>
        <v>2.25264</v>
      </c>
      <c r="AT68" s="13">
        <v>34.7</v>
      </c>
      <c r="AU68" s="13">
        <v>36</v>
      </c>
      <c r="AV68" s="13">
        <v>293.24</v>
      </c>
      <c r="AW68" s="13">
        <v>22.9</v>
      </c>
      <c r="AX68" s="16">
        <f t="shared" si="21"/>
        <v>67.15196</v>
      </c>
      <c r="AY68" s="16">
        <f t="shared" si="23"/>
        <v>11.838890548</v>
      </c>
      <c r="AZ68" s="31">
        <v>1.4</v>
      </c>
      <c r="BA68" s="13">
        <v>0.15</v>
      </c>
      <c r="BB68" s="13">
        <v>206</v>
      </c>
      <c r="BC68" s="13">
        <v>8</v>
      </c>
      <c r="BD68" s="13">
        <v>20.8</v>
      </c>
      <c r="BE68" s="16">
        <f t="shared" si="22"/>
        <v>1.664</v>
      </c>
      <c r="BF68" s="13">
        <v>30.2</v>
      </c>
      <c r="BG68" s="13">
        <v>29</v>
      </c>
      <c r="BH68" s="31">
        <v>3.2</v>
      </c>
      <c r="BI68" s="13">
        <v>14.8</v>
      </c>
      <c r="BJ68" s="31">
        <v>815</v>
      </c>
      <c r="BK68" s="31">
        <v>143.6</v>
      </c>
      <c r="BL68" s="31">
        <v>2.87</v>
      </c>
      <c r="BM68" s="13">
        <v>313008</v>
      </c>
      <c r="BN68" s="31">
        <v>99.5</v>
      </c>
      <c r="BO68" s="13" t="s">
        <v>103</v>
      </c>
      <c r="BP68" s="16">
        <f t="shared" si="14"/>
        <v>10.237</v>
      </c>
      <c r="BQ68" s="16">
        <f t="shared" si="15"/>
        <v>94.7807238712777</v>
      </c>
      <c r="BR68" s="16">
        <f t="shared" si="24"/>
        <v>51.3388942625165</v>
      </c>
      <c r="BS68" s="102">
        <f t="shared" si="16"/>
        <v>19.4444444444444</v>
      </c>
      <c r="BT68" s="13" t="s">
        <v>102</v>
      </c>
      <c r="BU68" s="13" t="s">
        <v>105</v>
      </c>
      <c r="BV68" s="12">
        <v>45867</v>
      </c>
      <c r="BW68" s="13" t="s">
        <v>105</v>
      </c>
      <c r="BX68" s="31">
        <v>2.87</v>
      </c>
      <c r="BY68" s="13" t="s">
        <v>103</v>
      </c>
      <c r="BZ68" s="13" t="s">
        <v>103</v>
      </c>
      <c r="CA68" s="13" t="s">
        <v>103</v>
      </c>
    </row>
    <row r="69" spans="1:79">
      <c r="A69" s="12">
        <v>45867</v>
      </c>
      <c r="B69" s="13">
        <v>25107009</v>
      </c>
      <c r="C69" s="13"/>
      <c r="D69" s="13"/>
      <c r="E69" s="13">
        <v>1</v>
      </c>
      <c r="F69" s="13" t="s">
        <v>91</v>
      </c>
      <c r="G69" s="13">
        <v>73</v>
      </c>
      <c r="H69" s="13">
        <v>73</v>
      </c>
      <c r="I69" s="13" t="s">
        <v>92</v>
      </c>
      <c r="J69" s="13" t="s">
        <v>93</v>
      </c>
      <c r="K69" s="13" t="s">
        <v>94</v>
      </c>
      <c r="L69" s="13">
        <v>900</v>
      </c>
      <c r="M69" s="13">
        <v>4</v>
      </c>
      <c r="N69" s="13">
        <v>0.24</v>
      </c>
      <c r="O69" s="13">
        <v>73</v>
      </c>
      <c r="P69" s="31">
        <v>1.72</v>
      </c>
      <c r="Q69" s="16">
        <f t="shared" si="19"/>
        <v>24.6755002704164</v>
      </c>
      <c r="R69" s="13">
        <v>73</v>
      </c>
      <c r="S69" s="13" t="s">
        <v>95</v>
      </c>
      <c r="T69" s="13">
        <v>360</v>
      </c>
      <c r="U69" s="13">
        <v>4821</v>
      </c>
      <c r="V69" s="16">
        <f t="shared" si="17"/>
        <v>4.78137315909562</v>
      </c>
      <c r="W69" s="87">
        <f t="shared" si="18"/>
        <v>21918</v>
      </c>
      <c r="X69" s="13">
        <v>23051</v>
      </c>
      <c r="Y69" s="13">
        <v>1133</v>
      </c>
      <c r="Z69" s="13">
        <v>311</v>
      </c>
      <c r="AA69" s="13">
        <v>291.5</v>
      </c>
      <c r="AB69" s="13" t="s">
        <v>96</v>
      </c>
      <c r="AC69" s="13" t="s">
        <v>108</v>
      </c>
      <c r="AD69" s="13" t="s">
        <v>122</v>
      </c>
      <c r="AE69" s="13">
        <v>47</v>
      </c>
      <c r="AF69" s="13">
        <v>61</v>
      </c>
      <c r="AG69" s="13">
        <v>75</v>
      </c>
      <c r="AH69" s="13" t="s">
        <v>134</v>
      </c>
      <c r="AI69" s="13" t="s">
        <v>123</v>
      </c>
      <c r="AJ69" s="13" t="s">
        <v>101</v>
      </c>
      <c r="AK69" s="13" t="s">
        <v>102</v>
      </c>
      <c r="AL69" s="13" t="s">
        <v>102</v>
      </c>
      <c r="AM69" s="13" t="s">
        <v>123</v>
      </c>
      <c r="AN69" s="13" t="s">
        <v>101</v>
      </c>
      <c r="AO69" s="13" t="s">
        <v>102</v>
      </c>
      <c r="AP69" s="13" t="s">
        <v>102</v>
      </c>
      <c r="AQ69" s="13">
        <v>34.22</v>
      </c>
      <c r="AR69" s="13">
        <v>23</v>
      </c>
      <c r="AS69" s="16">
        <f t="shared" si="20"/>
        <v>7.8706</v>
      </c>
      <c r="AT69" s="13">
        <v>43.6</v>
      </c>
      <c r="AU69" s="13">
        <v>196</v>
      </c>
      <c r="AV69" s="13">
        <v>267.99</v>
      </c>
      <c r="AW69" s="13">
        <v>92</v>
      </c>
      <c r="AX69" s="16">
        <f t="shared" si="21"/>
        <v>246.5508</v>
      </c>
      <c r="AY69" s="16">
        <f t="shared" si="23"/>
        <v>71.8695582</v>
      </c>
      <c r="AZ69" s="31">
        <v>1.7</v>
      </c>
      <c r="BA69" s="13">
        <v>0.23</v>
      </c>
      <c r="BB69" s="13">
        <v>2178</v>
      </c>
      <c r="BC69" s="13">
        <v>28.37</v>
      </c>
      <c r="BD69" s="13">
        <v>11.3</v>
      </c>
      <c r="BE69" s="16">
        <f t="shared" si="22"/>
        <v>3.20581</v>
      </c>
      <c r="BF69" s="13">
        <v>39.7</v>
      </c>
      <c r="BG69" s="13">
        <v>89</v>
      </c>
      <c r="BH69" s="31">
        <v>2.2</v>
      </c>
      <c r="BI69" s="13">
        <v>13.7</v>
      </c>
      <c r="BJ69" s="31">
        <v>749.9</v>
      </c>
      <c r="BK69" s="31">
        <v>218.5</v>
      </c>
      <c r="BL69" s="31">
        <v>2.9</v>
      </c>
      <c r="BM69" s="13">
        <v>330360</v>
      </c>
      <c r="BN69" s="31">
        <v>99.4</v>
      </c>
      <c r="BO69" s="13" t="s">
        <v>103</v>
      </c>
      <c r="BP69" s="16">
        <f t="shared" si="14"/>
        <v>21.918</v>
      </c>
      <c r="BQ69" s="16">
        <f t="shared" si="15"/>
        <v>72.7662428574188</v>
      </c>
      <c r="BR69" s="16">
        <f t="shared" si="24"/>
        <v>41.6616255615946</v>
      </c>
      <c r="BS69" s="102">
        <f t="shared" si="16"/>
        <v>54.5918367346939</v>
      </c>
      <c r="BT69" s="13" t="s">
        <v>102</v>
      </c>
      <c r="BU69" s="13" t="s">
        <v>105</v>
      </c>
      <c r="BV69" s="12">
        <v>45868</v>
      </c>
      <c r="BW69" s="13" t="s">
        <v>105</v>
      </c>
      <c r="BX69" s="31">
        <v>2.9</v>
      </c>
      <c r="BY69" s="13" t="s">
        <v>103</v>
      </c>
      <c r="BZ69" s="13" t="s">
        <v>103</v>
      </c>
      <c r="CA69" s="13" t="s">
        <v>103</v>
      </c>
    </row>
    <row r="70" spans="1:79">
      <c r="A70" s="12">
        <v>45868</v>
      </c>
      <c r="B70" s="13">
        <v>25107010</v>
      </c>
      <c r="C70" s="13"/>
      <c r="D70" s="13"/>
      <c r="E70" s="13">
        <v>1</v>
      </c>
      <c r="F70" s="13" t="s">
        <v>91</v>
      </c>
      <c r="G70" s="13">
        <v>41</v>
      </c>
      <c r="H70" s="13">
        <v>41</v>
      </c>
      <c r="I70" s="13" t="s">
        <v>92</v>
      </c>
      <c r="J70" s="13" t="s">
        <v>93</v>
      </c>
      <c r="K70" s="13" t="s">
        <v>94</v>
      </c>
      <c r="L70" s="13">
        <v>900</v>
      </c>
      <c r="M70" s="13">
        <v>4</v>
      </c>
      <c r="N70" s="13">
        <v>0.24</v>
      </c>
      <c r="O70" s="13">
        <v>91</v>
      </c>
      <c r="P70" s="31">
        <v>1.8</v>
      </c>
      <c r="Q70" s="16">
        <f t="shared" si="19"/>
        <v>28.0864197530864</v>
      </c>
      <c r="R70" s="13">
        <v>91</v>
      </c>
      <c r="S70" s="13" t="s">
        <v>95</v>
      </c>
      <c r="T70" s="13">
        <v>355</v>
      </c>
      <c r="U70" s="13">
        <v>5673</v>
      </c>
      <c r="V70" s="16">
        <f t="shared" si="17"/>
        <v>5.00017627357659</v>
      </c>
      <c r="W70" s="87">
        <f t="shared" si="18"/>
        <v>26988</v>
      </c>
      <c r="X70" s="13">
        <v>28366</v>
      </c>
      <c r="Y70" s="13">
        <v>1378</v>
      </c>
      <c r="Z70" s="13">
        <v>337</v>
      </c>
      <c r="AA70" s="13">
        <v>326</v>
      </c>
      <c r="AB70" s="13" t="s">
        <v>96</v>
      </c>
      <c r="AC70" s="13" t="s">
        <v>108</v>
      </c>
      <c r="AD70" s="13" t="s">
        <v>98</v>
      </c>
      <c r="AE70" s="13">
        <v>80</v>
      </c>
      <c r="AF70" s="13">
        <v>82.5</v>
      </c>
      <c r="AG70" s="13">
        <v>85</v>
      </c>
      <c r="AH70" s="13" t="s">
        <v>99</v>
      </c>
      <c r="AI70" s="13" t="s">
        <v>100</v>
      </c>
      <c r="AJ70" s="13" t="s">
        <v>101</v>
      </c>
      <c r="AK70" s="13" t="s">
        <v>102</v>
      </c>
      <c r="AL70" s="13">
        <v>145</v>
      </c>
      <c r="AM70" s="13" t="s">
        <v>100</v>
      </c>
      <c r="AN70" s="13" t="s">
        <v>101</v>
      </c>
      <c r="AO70" s="13" t="s">
        <v>102</v>
      </c>
      <c r="AP70" s="13">
        <v>145</v>
      </c>
      <c r="AQ70" s="13">
        <v>45.8</v>
      </c>
      <c r="AR70" s="13">
        <v>16.6</v>
      </c>
      <c r="AS70" s="16">
        <f t="shared" si="20"/>
        <v>7.6028</v>
      </c>
      <c r="AT70" s="13">
        <v>32.3</v>
      </c>
      <c r="AU70" s="13">
        <v>101</v>
      </c>
      <c r="AV70" s="13">
        <v>323.74</v>
      </c>
      <c r="AW70" s="13">
        <v>84.7</v>
      </c>
      <c r="AX70" s="16">
        <f t="shared" si="21"/>
        <v>274.20778</v>
      </c>
      <c r="AY70" s="16">
        <f t="shared" si="23"/>
        <v>89.39173628</v>
      </c>
      <c r="AZ70" s="31">
        <v>1.1</v>
      </c>
      <c r="BA70" s="13">
        <v>0.08</v>
      </c>
      <c r="BB70" s="13">
        <v>971</v>
      </c>
      <c r="BC70" s="13">
        <v>50.93</v>
      </c>
      <c r="BD70" s="13">
        <v>11.2</v>
      </c>
      <c r="BE70" s="16">
        <f t="shared" si="22"/>
        <v>5.70416</v>
      </c>
      <c r="BF70" s="13">
        <v>33.4</v>
      </c>
      <c r="BG70" s="13">
        <v>63</v>
      </c>
      <c r="BH70" s="31">
        <v>3.5</v>
      </c>
      <c r="BI70" s="13">
        <v>24.8</v>
      </c>
      <c r="BJ70" s="31">
        <v>1177.4</v>
      </c>
      <c r="BK70" s="31">
        <v>383.8</v>
      </c>
      <c r="BL70" s="31">
        <v>4.2</v>
      </c>
      <c r="BM70" s="13">
        <v>393144</v>
      </c>
      <c r="BN70" s="31">
        <v>99.5</v>
      </c>
      <c r="BO70" s="13" t="s">
        <v>103</v>
      </c>
      <c r="BP70" s="16">
        <f t="shared" si="14"/>
        <v>26.988</v>
      </c>
      <c r="BQ70" s="16">
        <f t="shared" si="15"/>
        <v>57.3432875782307</v>
      </c>
      <c r="BR70" s="16">
        <f t="shared" si="24"/>
        <v>43.566543518103</v>
      </c>
      <c r="BS70" s="102">
        <f t="shared" si="16"/>
        <v>37.6237623762376</v>
      </c>
      <c r="BT70" s="13" t="s">
        <v>102</v>
      </c>
      <c r="BU70" s="13" t="s">
        <v>105</v>
      </c>
      <c r="BV70" s="12">
        <v>45870</v>
      </c>
      <c r="BW70" s="13" t="s">
        <v>105</v>
      </c>
      <c r="BX70" s="31">
        <v>4.2</v>
      </c>
      <c r="BY70" s="13" t="s">
        <v>103</v>
      </c>
      <c r="BZ70" s="13" t="s">
        <v>103</v>
      </c>
      <c r="CA70" s="13" t="s">
        <v>103</v>
      </c>
    </row>
    <row r="71" spans="1:79">
      <c r="A71" s="12">
        <v>45868</v>
      </c>
      <c r="B71" s="13">
        <v>25107011</v>
      </c>
      <c r="C71" s="13"/>
      <c r="D71" s="13"/>
      <c r="E71" s="13">
        <v>1</v>
      </c>
      <c r="F71" s="13" t="s">
        <v>91</v>
      </c>
      <c r="G71" s="13">
        <v>29</v>
      </c>
      <c r="H71" s="13">
        <v>33</v>
      </c>
      <c r="I71" s="13" t="s">
        <v>152</v>
      </c>
      <c r="J71" s="13" t="s">
        <v>112</v>
      </c>
      <c r="K71" s="13" t="s">
        <v>94</v>
      </c>
      <c r="L71" s="13">
        <v>900</v>
      </c>
      <c r="M71" s="13">
        <v>6</v>
      </c>
      <c r="N71" s="13" t="s">
        <v>103</v>
      </c>
      <c r="O71" s="13">
        <v>92</v>
      </c>
      <c r="P71" s="31">
        <v>1.88</v>
      </c>
      <c r="Q71" s="16">
        <f t="shared" si="19"/>
        <v>26.0298777727479</v>
      </c>
      <c r="R71" s="13">
        <v>93.5</v>
      </c>
      <c r="S71" s="13" t="s">
        <v>95</v>
      </c>
      <c r="T71" s="13">
        <v>225</v>
      </c>
      <c r="U71" s="13">
        <v>6004</v>
      </c>
      <c r="V71" s="16">
        <f t="shared" si="17"/>
        <v>3.00016655562958</v>
      </c>
      <c r="W71" s="87">
        <f t="shared" si="18"/>
        <v>17129</v>
      </c>
      <c r="X71" s="13">
        <v>18013</v>
      </c>
      <c r="Y71" s="13">
        <v>884</v>
      </c>
      <c r="Z71" s="13">
        <v>207</v>
      </c>
      <c r="AA71" s="13">
        <v>198.2</v>
      </c>
      <c r="AB71" s="13" t="s">
        <v>96</v>
      </c>
      <c r="AC71" s="13" t="s">
        <v>97</v>
      </c>
      <c r="AD71" s="13" t="s">
        <v>98</v>
      </c>
      <c r="AE71" s="13">
        <v>85</v>
      </c>
      <c r="AF71" s="13">
        <v>85</v>
      </c>
      <c r="AG71" s="13">
        <v>85</v>
      </c>
      <c r="AH71" s="13" t="s">
        <v>109</v>
      </c>
      <c r="AI71" s="13" t="s">
        <v>100</v>
      </c>
      <c r="AJ71" s="13" t="s">
        <v>101</v>
      </c>
      <c r="AK71" s="13" t="s">
        <v>102</v>
      </c>
      <c r="AL71" s="13" t="s">
        <v>102</v>
      </c>
      <c r="AM71" s="13" t="s">
        <v>100</v>
      </c>
      <c r="AN71" s="13" t="s">
        <v>101</v>
      </c>
      <c r="AO71" s="13" t="s">
        <v>102</v>
      </c>
      <c r="AP71" s="13">
        <v>146.2</v>
      </c>
      <c r="AQ71" s="13">
        <v>64.71</v>
      </c>
      <c r="AR71" s="13">
        <v>24.7</v>
      </c>
      <c r="AS71" s="16">
        <f t="shared" si="20"/>
        <v>15.98337</v>
      </c>
      <c r="AT71" s="13">
        <v>41.1</v>
      </c>
      <c r="AU71" s="13">
        <v>83</v>
      </c>
      <c r="AV71" s="13">
        <v>925.4</v>
      </c>
      <c r="AW71" s="13">
        <v>73.6</v>
      </c>
      <c r="AX71" s="16">
        <f t="shared" si="21"/>
        <v>681.0944</v>
      </c>
      <c r="AY71" s="16">
        <f t="shared" si="23"/>
        <v>134.99291008</v>
      </c>
      <c r="AZ71" s="31">
        <v>7</v>
      </c>
      <c r="BA71" s="13">
        <v>0.4</v>
      </c>
      <c r="BB71" s="13">
        <v>960</v>
      </c>
      <c r="BC71" s="13">
        <v>46.35</v>
      </c>
      <c r="BD71" s="13">
        <v>14.6</v>
      </c>
      <c r="BE71" s="16">
        <f t="shared" si="22"/>
        <v>6.7671</v>
      </c>
      <c r="BF71" s="13">
        <v>41.2</v>
      </c>
      <c r="BG71" s="13">
        <v>48</v>
      </c>
      <c r="BH71" s="31">
        <v>44</v>
      </c>
      <c r="BI71" s="13">
        <v>62.1</v>
      </c>
      <c r="BJ71" s="31">
        <v>2688</v>
      </c>
      <c r="BK71" s="31">
        <v>532.7</v>
      </c>
      <c r="BL71" s="31">
        <v>5.6</v>
      </c>
      <c r="BM71" s="13">
        <v>887265</v>
      </c>
      <c r="BN71" s="31">
        <v>99</v>
      </c>
      <c r="BO71" s="13" t="s">
        <v>103</v>
      </c>
      <c r="BP71" s="16">
        <f t="shared" si="14"/>
        <v>17.129</v>
      </c>
      <c r="BQ71" s="16">
        <f t="shared" si="15"/>
        <v>50.0793965728846</v>
      </c>
      <c r="BR71" s="16">
        <f t="shared" si="24"/>
        <v>49.3072290853745</v>
      </c>
      <c r="BS71" s="102">
        <f t="shared" si="16"/>
        <v>42.1686746987952</v>
      </c>
      <c r="BT71" s="13" t="s">
        <v>102</v>
      </c>
      <c r="BU71" s="13" t="s">
        <v>153</v>
      </c>
      <c r="BV71" s="12">
        <v>45868</v>
      </c>
      <c r="BW71" s="13" t="s">
        <v>153</v>
      </c>
      <c r="BX71" s="31">
        <v>5.6</v>
      </c>
      <c r="BY71" s="13" t="s">
        <v>103</v>
      </c>
      <c r="BZ71" s="13" t="s">
        <v>103</v>
      </c>
      <c r="CA71" s="13" t="s">
        <v>103</v>
      </c>
    </row>
    <row r="72" spans="1:79">
      <c r="A72" s="12">
        <v>45875</v>
      </c>
      <c r="B72" s="13">
        <v>25108001</v>
      </c>
      <c r="C72" s="13"/>
      <c r="D72" s="13"/>
      <c r="E72" s="13">
        <v>1</v>
      </c>
      <c r="F72" s="13" t="s">
        <v>91</v>
      </c>
      <c r="G72" s="13">
        <v>37</v>
      </c>
      <c r="H72" s="13">
        <v>42</v>
      </c>
      <c r="I72" s="13" t="s">
        <v>124</v>
      </c>
      <c r="J72" s="13" t="s">
        <v>125</v>
      </c>
      <c r="K72" s="13" t="s">
        <v>94</v>
      </c>
      <c r="L72" s="13">
        <v>600</v>
      </c>
      <c r="M72" s="13">
        <v>4</v>
      </c>
      <c r="N72" s="13" t="s">
        <v>103</v>
      </c>
      <c r="O72" s="13">
        <v>73</v>
      </c>
      <c r="P72" s="31">
        <v>1.65</v>
      </c>
      <c r="Q72" s="16">
        <f t="shared" si="19"/>
        <v>26.8135904499541</v>
      </c>
      <c r="R72" s="13">
        <v>64</v>
      </c>
      <c r="S72" s="13" t="s">
        <v>95</v>
      </c>
      <c r="T72" s="13">
        <v>224</v>
      </c>
      <c r="U72" s="13">
        <v>4602</v>
      </c>
      <c r="V72" s="16">
        <f t="shared" si="17"/>
        <v>2.30008691873099</v>
      </c>
      <c r="W72" s="87">
        <f t="shared" si="18"/>
        <v>10057</v>
      </c>
      <c r="X72" s="13">
        <v>10585</v>
      </c>
      <c r="Y72" s="13">
        <v>528</v>
      </c>
      <c r="Z72" s="13">
        <v>202</v>
      </c>
      <c r="AA72" s="13">
        <v>199.6</v>
      </c>
      <c r="AB72" s="13" t="s">
        <v>96</v>
      </c>
      <c r="AC72" s="13" t="s">
        <v>121</v>
      </c>
      <c r="AD72" s="13" t="s">
        <v>122</v>
      </c>
      <c r="AE72" s="13">
        <v>52</v>
      </c>
      <c r="AF72" s="13">
        <v>51</v>
      </c>
      <c r="AG72" s="13">
        <v>50</v>
      </c>
      <c r="AH72" s="13" t="s">
        <v>99</v>
      </c>
      <c r="AI72" s="13" t="s">
        <v>100</v>
      </c>
      <c r="AJ72" s="13" t="s">
        <v>101</v>
      </c>
      <c r="AK72" s="13" t="s">
        <v>102</v>
      </c>
      <c r="AL72" s="13" t="s">
        <v>113</v>
      </c>
      <c r="AM72" s="13" t="s">
        <v>100</v>
      </c>
      <c r="AN72" s="13" t="s">
        <v>101</v>
      </c>
      <c r="AO72" s="13" t="s">
        <v>102</v>
      </c>
      <c r="AP72" s="13" t="s">
        <v>113</v>
      </c>
      <c r="AQ72" s="13">
        <v>63.57</v>
      </c>
      <c r="AR72" s="13">
        <v>13.5</v>
      </c>
      <c r="AS72" s="16">
        <f t="shared" si="20"/>
        <v>8.58195</v>
      </c>
      <c r="AT72" s="13">
        <v>48.4</v>
      </c>
      <c r="AU72" s="13">
        <v>197</v>
      </c>
      <c r="AV72" s="13">
        <v>362.73</v>
      </c>
      <c r="AW72" s="13">
        <v>60.1</v>
      </c>
      <c r="AX72" s="16">
        <f t="shared" si="21"/>
        <v>218.00073</v>
      </c>
      <c r="AY72" s="16">
        <f t="shared" si="23"/>
        <v>43.512945708</v>
      </c>
      <c r="AZ72" s="31">
        <v>2.5</v>
      </c>
      <c r="BA72" s="13">
        <v>0.33</v>
      </c>
      <c r="BB72" s="13">
        <v>2435</v>
      </c>
      <c r="BC72" s="13">
        <v>49.56</v>
      </c>
      <c r="BD72" s="13">
        <v>10.1</v>
      </c>
      <c r="BE72" s="16">
        <f t="shared" si="22"/>
        <v>5.00556</v>
      </c>
      <c r="BF72" s="13">
        <v>49.2</v>
      </c>
      <c r="BG72" s="13">
        <v>117</v>
      </c>
      <c r="BH72" s="31">
        <v>103.4</v>
      </c>
      <c r="BI72" s="13">
        <v>153.7</v>
      </c>
      <c r="BJ72" s="31">
        <v>4208.4</v>
      </c>
      <c r="BK72" s="31">
        <v>839.9</v>
      </c>
      <c r="BL72" s="31">
        <v>13.1</v>
      </c>
      <c r="BM72" s="13">
        <v>465690</v>
      </c>
      <c r="BN72" s="31">
        <v>99.2</v>
      </c>
      <c r="BO72" s="13" t="s">
        <v>103</v>
      </c>
      <c r="BP72" s="16">
        <f t="shared" si="14"/>
        <v>10.057</v>
      </c>
      <c r="BQ72" s="16">
        <f t="shared" si="15"/>
        <v>54.335699654455</v>
      </c>
      <c r="BR72" s="16">
        <f t="shared" si="24"/>
        <v>50.4154972243481</v>
      </c>
      <c r="BS72" s="102">
        <f t="shared" si="16"/>
        <v>40.6091370558376</v>
      </c>
      <c r="BT72" s="13" t="s">
        <v>102</v>
      </c>
      <c r="BU72" s="13" t="s">
        <v>105</v>
      </c>
      <c r="BV72" s="12">
        <v>45877</v>
      </c>
      <c r="BW72" s="13" t="s">
        <v>105</v>
      </c>
      <c r="BX72" s="31">
        <v>10</v>
      </c>
      <c r="BY72" s="13" t="s">
        <v>103</v>
      </c>
      <c r="BZ72" s="13" t="s">
        <v>103</v>
      </c>
      <c r="CA72" s="13" t="s">
        <v>103</v>
      </c>
    </row>
    <row r="73" spans="1:79">
      <c r="A73" s="12">
        <v>45875</v>
      </c>
      <c r="B73" s="13">
        <v>25108002</v>
      </c>
      <c r="C73" s="13"/>
      <c r="D73" s="13"/>
      <c r="E73" s="13">
        <v>1</v>
      </c>
      <c r="F73" s="13" t="s">
        <v>111</v>
      </c>
      <c r="G73" s="13">
        <v>55</v>
      </c>
      <c r="H73" s="13">
        <v>55</v>
      </c>
      <c r="I73" s="13" t="s">
        <v>92</v>
      </c>
      <c r="J73" s="13" t="s">
        <v>154</v>
      </c>
      <c r="K73" s="13" t="s">
        <v>94</v>
      </c>
      <c r="L73" s="13">
        <v>900</v>
      </c>
      <c r="M73" s="13">
        <v>7</v>
      </c>
      <c r="N73" s="13" t="s">
        <v>103</v>
      </c>
      <c r="O73" s="13">
        <v>92</v>
      </c>
      <c r="P73" s="31">
        <v>1.78</v>
      </c>
      <c r="Q73" s="16">
        <f t="shared" si="19"/>
        <v>29.0367377856331</v>
      </c>
      <c r="R73" s="13">
        <v>92</v>
      </c>
      <c r="S73" s="13" t="s">
        <v>95</v>
      </c>
      <c r="T73" s="13" t="s">
        <v>103</v>
      </c>
      <c r="U73" s="13" t="s">
        <v>103</v>
      </c>
      <c r="V73" s="16" t="e">
        <f t="shared" si="17"/>
        <v>#VALUE!</v>
      </c>
      <c r="W73" s="87" t="e">
        <f t="shared" si="18"/>
        <v>#VALUE!</v>
      </c>
      <c r="X73" s="13" t="s">
        <v>103</v>
      </c>
      <c r="Y73" s="13" t="s">
        <v>103</v>
      </c>
      <c r="Z73" s="13" t="s">
        <v>103</v>
      </c>
      <c r="AA73" s="13" t="s">
        <v>103</v>
      </c>
      <c r="AB73" s="13" t="s">
        <v>96</v>
      </c>
      <c r="AC73" s="13" t="s">
        <v>121</v>
      </c>
      <c r="AD73" s="13" t="s">
        <v>98</v>
      </c>
      <c r="AE73" s="13">
        <v>20</v>
      </c>
      <c r="AF73" s="13" t="s">
        <v>103</v>
      </c>
      <c r="AG73" s="13" t="s">
        <v>103</v>
      </c>
      <c r="AH73" s="13" t="s">
        <v>155</v>
      </c>
      <c r="AI73" s="13" t="s">
        <v>110</v>
      </c>
      <c r="AJ73" s="13" t="s">
        <v>101</v>
      </c>
      <c r="AK73" s="13" t="s">
        <v>102</v>
      </c>
      <c r="AL73" s="13">
        <v>16.5</v>
      </c>
      <c r="AM73" s="13" t="s">
        <v>110</v>
      </c>
      <c r="AN73" s="13" t="s">
        <v>101</v>
      </c>
      <c r="AO73" s="13" t="s">
        <v>102</v>
      </c>
      <c r="AP73" s="13">
        <v>16.5</v>
      </c>
      <c r="AQ73" s="13">
        <v>5.93</v>
      </c>
      <c r="AR73" s="13">
        <v>11.8</v>
      </c>
      <c r="AS73" s="16">
        <f t="shared" si="20"/>
        <v>0.69974</v>
      </c>
      <c r="AT73" s="13">
        <v>32.5</v>
      </c>
      <c r="AU73" s="13">
        <v>102</v>
      </c>
      <c r="AV73" s="13" t="s">
        <v>103</v>
      </c>
      <c r="AW73" s="13" t="s">
        <v>103</v>
      </c>
      <c r="AX73" s="16" t="e">
        <f t="shared" si="21"/>
        <v>#VALUE!</v>
      </c>
      <c r="AY73" s="16" t="e">
        <f t="shared" si="23"/>
        <v>#VALUE!</v>
      </c>
      <c r="AZ73" s="31" t="s">
        <v>103</v>
      </c>
      <c r="BA73" s="13" t="s">
        <v>103</v>
      </c>
      <c r="BB73" s="13" t="s">
        <v>103</v>
      </c>
      <c r="BC73" s="13" t="s">
        <v>103</v>
      </c>
      <c r="BD73" s="13" t="s">
        <v>103</v>
      </c>
      <c r="BE73" s="16" t="e">
        <f t="shared" si="22"/>
        <v>#VALUE!</v>
      </c>
      <c r="BF73" s="13" t="s">
        <v>103</v>
      </c>
      <c r="BG73" s="13" t="s">
        <v>103</v>
      </c>
      <c r="BH73" s="31" t="s">
        <v>103</v>
      </c>
      <c r="BI73" s="13">
        <v>42.8</v>
      </c>
      <c r="BJ73" s="31" t="s">
        <v>103</v>
      </c>
      <c r="BK73" s="31" t="s">
        <v>103</v>
      </c>
      <c r="BL73" s="31" t="s">
        <v>103</v>
      </c>
      <c r="BM73" s="13" t="s">
        <v>103</v>
      </c>
      <c r="BN73" s="31" t="s">
        <v>103</v>
      </c>
      <c r="BO73" s="13" t="s">
        <v>103</v>
      </c>
      <c r="BP73" s="16" t="e">
        <f t="shared" si="14"/>
        <v>#VALUE!</v>
      </c>
      <c r="BQ73" s="16" t="e">
        <f t="shared" si="15"/>
        <v>#VALUE!</v>
      </c>
      <c r="BR73" s="16" t="e">
        <f t="shared" si="24"/>
        <v>#VALUE!</v>
      </c>
      <c r="BS73" s="102" t="e">
        <f t="shared" ref="BS73:BS85" si="25">(1-(BG73/AU73))*100</f>
        <v>#VALUE!</v>
      </c>
      <c r="BT73" s="13" t="s">
        <v>103</v>
      </c>
      <c r="BU73" s="13" t="s">
        <v>119</v>
      </c>
      <c r="BV73" s="13" t="s">
        <v>103</v>
      </c>
      <c r="BW73" s="13" t="s">
        <v>103</v>
      </c>
      <c r="BX73" s="31" t="s">
        <v>103</v>
      </c>
      <c r="BY73" s="13" t="s">
        <v>156</v>
      </c>
      <c r="BZ73" s="13" t="s">
        <v>103</v>
      </c>
      <c r="CA73" s="13" t="s">
        <v>103</v>
      </c>
    </row>
    <row r="74" spans="1:79">
      <c r="A74" s="12">
        <v>45881</v>
      </c>
      <c r="B74" s="13">
        <v>25108003</v>
      </c>
      <c r="C74" s="13"/>
      <c r="D74" s="13"/>
      <c r="E74" s="13">
        <v>2</v>
      </c>
      <c r="F74" s="13" t="s">
        <v>111</v>
      </c>
      <c r="G74" s="13">
        <v>55</v>
      </c>
      <c r="H74" s="13">
        <v>55</v>
      </c>
      <c r="I74" s="13" t="s">
        <v>92</v>
      </c>
      <c r="J74" s="13" t="s">
        <v>154</v>
      </c>
      <c r="K74" s="13" t="s">
        <v>94</v>
      </c>
      <c r="L74" s="13">
        <v>900</v>
      </c>
      <c r="M74" s="13">
        <v>9</v>
      </c>
      <c r="N74" s="13" t="s">
        <v>103</v>
      </c>
      <c r="O74" s="13">
        <v>92</v>
      </c>
      <c r="P74" s="31">
        <v>1.78</v>
      </c>
      <c r="Q74" s="16">
        <f t="shared" si="19"/>
        <v>29.0367377856331</v>
      </c>
      <c r="R74" s="13">
        <v>92</v>
      </c>
      <c r="S74" s="13" t="s">
        <v>106</v>
      </c>
      <c r="T74" s="13" t="s">
        <v>103</v>
      </c>
      <c r="U74" s="13" t="s">
        <v>103</v>
      </c>
      <c r="V74" s="16" t="e">
        <f t="shared" si="17"/>
        <v>#VALUE!</v>
      </c>
      <c r="W74" s="87" t="e">
        <f t="shared" si="18"/>
        <v>#VALUE!</v>
      </c>
      <c r="X74" s="13" t="s">
        <v>103</v>
      </c>
      <c r="Y74" s="13" t="s">
        <v>103</v>
      </c>
      <c r="Z74" s="13">
        <v>689.1</v>
      </c>
      <c r="AA74" s="13">
        <v>689.1</v>
      </c>
      <c r="AB74" s="13" t="s">
        <v>103</v>
      </c>
      <c r="AC74" s="13" t="s">
        <v>103</v>
      </c>
      <c r="AD74" s="13" t="s">
        <v>157</v>
      </c>
      <c r="AE74" s="13" t="s">
        <v>103</v>
      </c>
      <c r="AF74" s="13" t="s">
        <v>103</v>
      </c>
      <c r="AG74" s="13" t="s">
        <v>103</v>
      </c>
      <c r="AH74" s="13" t="s">
        <v>99</v>
      </c>
      <c r="AI74" s="13" t="s">
        <v>110</v>
      </c>
      <c r="AJ74" s="13" t="s">
        <v>101</v>
      </c>
      <c r="AK74" s="13" t="s">
        <v>102</v>
      </c>
      <c r="AL74" s="13">
        <v>16.5</v>
      </c>
      <c r="AM74" s="13" t="s">
        <v>110</v>
      </c>
      <c r="AN74" s="13" t="s">
        <v>101</v>
      </c>
      <c r="AO74" s="13" t="s">
        <v>102</v>
      </c>
      <c r="AP74" s="13">
        <v>16.5</v>
      </c>
      <c r="AQ74" s="13" t="s">
        <v>103</v>
      </c>
      <c r="AR74" s="13" t="s">
        <v>103</v>
      </c>
      <c r="AS74" s="16" t="s">
        <v>103</v>
      </c>
      <c r="AT74" s="13" t="s">
        <v>103</v>
      </c>
      <c r="AU74" s="13" t="s">
        <v>103</v>
      </c>
      <c r="AV74" s="13">
        <v>15.86</v>
      </c>
      <c r="AW74" s="13">
        <v>9.9</v>
      </c>
      <c r="AX74" s="16">
        <f t="shared" si="21"/>
        <v>1.57014</v>
      </c>
      <c r="AY74" s="16">
        <f t="shared" si="23"/>
        <v>1.081983474</v>
      </c>
      <c r="AZ74" s="13">
        <v>26.4</v>
      </c>
      <c r="BA74" s="13">
        <v>2.67</v>
      </c>
      <c r="BB74" s="13">
        <v>68</v>
      </c>
      <c r="BC74" s="13" t="s">
        <v>103</v>
      </c>
      <c r="BD74" s="13" t="s">
        <v>103</v>
      </c>
      <c r="BE74" s="16" t="e">
        <f t="shared" si="22"/>
        <v>#VALUE!</v>
      </c>
      <c r="BF74" s="13" t="s">
        <v>103</v>
      </c>
      <c r="BG74" s="13" t="s">
        <v>103</v>
      </c>
      <c r="BH74" s="31" t="s">
        <v>103</v>
      </c>
      <c r="BI74" s="13" t="s">
        <v>103</v>
      </c>
      <c r="BJ74" s="31">
        <v>111.7</v>
      </c>
      <c r="BK74" s="31">
        <v>76.9</v>
      </c>
      <c r="BL74" s="31">
        <v>0.83</v>
      </c>
      <c r="BM74" s="13">
        <v>15626</v>
      </c>
      <c r="BN74" s="31">
        <v>95.1</v>
      </c>
      <c r="BO74" s="13" t="s">
        <v>103</v>
      </c>
      <c r="BP74" s="16" t="e">
        <f t="shared" si="14"/>
        <v>#VALUE!</v>
      </c>
      <c r="BQ74" s="16" t="e">
        <f t="shared" si="15"/>
        <v>#VALUE!</v>
      </c>
      <c r="BR74" s="16" t="e">
        <f t="shared" si="24"/>
        <v>#VALUE!</v>
      </c>
      <c r="BS74" s="102" t="e">
        <f>(1-(BG74/BA74))*100</f>
        <v>#VALUE!</v>
      </c>
      <c r="BT74" s="13" t="s">
        <v>102</v>
      </c>
      <c r="BU74" s="13" t="s">
        <v>119</v>
      </c>
      <c r="BV74" s="12">
        <v>45883</v>
      </c>
      <c r="BW74" s="13" t="s">
        <v>119</v>
      </c>
      <c r="BX74" s="31">
        <v>0.83</v>
      </c>
      <c r="BY74" s="13" t="s">
        <v>103</v>
      </c>
      <c r="BZ74" s="13" t="s">
        <v>103</v>
      </c>
      <c r="CA74" s="13" t="s">
        <v>103</v>
      </c>
    </row>
    <row r="75" spans="1:79">
      <c r="A75" s="12">
        <v>45882</v>
      </c>
      <c r="B75" s="13">
        <v>25108004</v>
      </c>
      <c r="C75" s="13"/>
      <c r="D75" s="13"/>
      <c r="E75" s="13">
        <v>1</v>
      </c>
      <c r="F75" s="13" t="s">
        <v>91</v>
      </c>
      <c r="G75" s="13">
        <v>59</v>
      </c>
      <c r="H75" s="13">
        <v>59</v>
      </c>
      <c r="I75" s="13" t="s">
        <v>92</v>
      </c>
      <c r="J75" s="13" t="s">
        <v>93</v>
      </c>
      <c r="K75" s="13" t="s">
        <v>94</v>
      </c>
      <c r="L75" s="13">
        <v>900</v>
      </c>
      <c r="M75" s="13">
        <v>4</v>
      </c>
      <c r="N75" s="13">
        <v>0.24</v>
      </c>
      <c r="O75" s="13">
        <v>84</v>
      </c>
      <c r="P75" s="31">
        <v>1.66</v>
      </c>
      <c r="Q75" s="16">
        <f t="shared" si="19"/>
        <v>30.4833793003339</v>
      </c>
      <c r="R75" s="13">
        <v>84</v>
      </c>
      <c r="S75" s="13" t="s">
        <v>95</v>
      </c>
      <c r="T75" s="13">
        <v>319</v>
      </c>
      <c r="U75" s="13">
        <v>4968</v>
      </c>
      <c r="V75" s="16">
        <f t="shared" si="17"/>
        <v>4.51650563607085</v>
      </c>
      <c r="W75" s="87">
        <f t="shared" si="18"/>
        <v>21339</v>
      </c>
      <c r="X75" s="13">
        <v>22438</v>
      </c>
      <c r="Y75" s="13">
        <v>1099</v>
      </c>
      <c r="Z75" s="13">
        <v>300</v>
      </c>
      <c r="AA75" s="13">
        <v>277.4</v>
      </c>
      <c r="AB75" s="13" t="s">
        <v>96</v>
      </c>
      <c r="AC75" s="13" t="s">
        <v>121</v>
      </c>
      <c r="AD75" s="13" t="s">
        <v>98</v>
      </c>
      <c r="AE75" s="13">
        <v>85</v>
      </c>
      <c r="AF75" s="13">
        <v>77.5</v>
      </c>
      <c r="AG75" s="13">
        <v>70</v>
      </c>
      <c r="AH75" s="13" t="s">
        <v>99</v>
      </c>
      <c r="AI75" s="13" t="s">
        <v>110</v>
      </c>
      <c r="AJ75" s="118" t="s">
        <v>101</v>
      </c>
      <c r="AK75" s="11" t="s">
        <v>102</v>
      </c>
      <c r="AL75" s="13" t="s">
        <v>113</v>
      </c>
      <c r="AM75" s="13" t="s">
        <v>110</v>
      </c>
      <c r="AN75" s="11" t="s">
        <v>101</v>
      </c>
      <c r="AO75" s="13" t="s">
        <v>102</v>
      </c>
      <c r="AP75" s="13" t="s">
        <v>113</v>
      </c>
      <c r="AQ75" s="13">
        <v>42.57</v>
      </c>
      <c r="AR75" s="13">
        <v>20.1</v>
      </c>
      <c r="AS75" s="16">
        <f t="shared" si="20"/>
        <v>8.55657</v>
      </c>
      <c r="AT75" s="13">
        <v>48.9</v>
      </c>
      <c r="AU75" s="13">
        <v>199</v>
      </c>
      <c r="AV75" s="13">
        <v>411.98</v>
      </c>
      <c r="AW75" s="13">
        <v>21.5</v>
      </c>
      <c r="AX75" s="16">
        <f t="shared" si="21"/>
        <v>88.5757</v>
      </c>
      <c r="AY75" s="16">
        <f t="shared" si="23"/>
        <v>24.57089918</v>
      </c>
      <c r="AZ75" s="31">
        <v>2.2</v>
      </c>
      <c r="BA75" s="13">
        <v>0.21</v>
      </c>
      <c r="BB75" s="13">
        <v>2855</v>
      </c>
      <c r="BC75" s="13">
        <v>28.82</v>
      </c>
      <c r="BD75" s="13">
        <v>13.1</v>
      </c>
      <c r="BE75" s="16">
        <f t="shared" si="22"/>
        <v>3.77542</v>
      </c>
      <c r="BF75" s="13">
        <v>52</v>
      </c>
      <c r="BG75" s="13">
        <v>84</v>
      </c>
      <c r="BH75" s="31">
        <v>7.1</v>
      </c>
      <c r="BI75" s="13">
        <v>52.8</v>
      </c>
      <c r="BJ75" s="31">
        <v>2079.7</v>
      </c>
      <c r="BK75" s="31">
        <v>576.9</v>
      </c>
      <c r="BL75" s="31">
        <v>6.8</v>
      </c>
      <c r="BM75" s="13">
        <v>447484</v>
      </c>
      <c r="BN75" s="31">
        <v>99</v>
      </c>
      <c r="BO75" s="13" t="s">
        <v>103</v>
      </c>
      <c r="BP75" s="16">
        <f t="shared" si="14"/>
        <v>21.339</v>
      </c>
      <c r="BQ75" s="16">
        <f t="shared" si="15"/>
        <v>51.2026634970541</v>
      </c>
      <c r="BR75" s="16">
        <f t="shared" si="24"/>
        <v>13.4569698350681</v>
      </c>
      <c r="BS75" s="102">
        <f t="shared" si="25"/>
        <v>57.7889447236181</v>
      </c>
      <c r="BT75" s="13" t="s">
        <v>102</v>
      </c>
      <c r="BU75" s="13" t="s">
        <v>119</v>
      </c>
      <c r="BV75" s="12">
        <v>45883</v>
      </c>
      <c r="BW75" s="13" t="s">
        <v>119</v>
      </c>
      <c r="BX75" s="31">
        <v>6.8</v>
      </c>
      <c r="BY75" s="13" t="s">
        <v>103</v>
      </c>
      <c r="BZ75" s="13" t="s">
        <v>103</v>
      </c>
      <c r="CA75" s="13" t="s">
        <v>103</v>
      </c>
    </row>
    <row r="76" spans="1:79">
      <c r="A76" s="12">
        <v>45884</v>
      </c>
      <c r="B76" s="13">
        <v>25108005</v>
      </c>
      <c r="C76" s="13"/>
      <c r="D76" s="13"/>
      <c r="E76" s="13">
        <v>1</v>
      </c>
      <c r="F76" s="13" t="s">
        <v>91</v>
      </c>
      <c r="G76" s="13">
        <v>25</v>
      </c>
      <c r="H76" s="13">
        <v>19</v>
      </c>
      <c r="I76" s="13" t="s">
        <v>124</v>
      </c>
      <c r="J76" s="13" t="s">
        <v>125</v>
      </c>
      <c r="K76" s="13" t="s">
        <v>94</v>
      </c>
      <c r="L76" s="13">
        <v>900</v>
      </c>
      <c r="M76" s="13">
        <v>4</v>
      </c>
      <c r="N76" s="13" t="s">
        <v>103</v>
      </c>
      <c r="O76" s="13">
        <v>108.5</v>
      </c>
      <c r="P76" s="31">
        <v>1.67</v>
      </c>
      <c r="Q76" s="16">
        <f t="shared" si="19"/>
        <v>38.9042274731973</v>
      </c>
      <c r="R76" s="13">
        <v>70</v>
      </c>
      <c r="S76" s="13" t="s">
        <v>95</v>
      </c>
      <c r="T76" s="13">
        <v>145</v>
      </c>
      <c r="U76" s="13">
        <v>5789</v>
      </c>
      <c r="V76" s="16">
        <f t="shared" si="17"/>
        <v>2</v>
      </c>
      <c r="W76" s="87">
        <f t="shared" si="18"/>
        <v>11002</v>
      </c>
      <c r="X76" s="13">
        <v>11578</v>
      </c>
      <c r="Y76" s="13">
        <v>576</v>
      </c>
      <c r="Z76" s="13">
        <v>131</v>
      </c>
      <c r="AA76" s="13">
        <v>129</v>
      </c>
      <c r="AB76" s="13" t="s">
        <v>96</v>
      </c>
      <c r="AC76" s="13" t="s">
        <v>97</v>
      </c>
      <c r="AD76" s="13" t="s">
        <v>98</v>
      </c>
      <c r="AE76" s="13">
        <v>85</v>
      </c>
      <c r="AF76" s="13">
        <v>85</v>
      </c>
      <c r="AG76" s="13">
        <v>85</v>
      </c>
      <c r="AH76" s="13" t="s">
        <v>126</v>
      </c>
      <c r="AI76" s="13" t="s">
        <v>110</v>
      </c>
      <c r="AJ76" s="118" t="s">
        <v>101</v>
      </c>
      <c r="AK76" s="13" t="s">
        <v>102</v>
      </c>
      <c r="AL76" s="13" t="s">
        <v>113</v>
      </c>
      <c r="AM76" s="13" t="s">
        <v>100</v>
      </c>
      <c r="AN76" s="13" t="s">
        <v>101</v>
      </c>
      <c r="AO76" s="13" t="s">
        <v>102</v>
      </c>
      <c r="AP76" s="13">
        <v>204.4</v>
      </c>
      <c r="AQ76" s="13">
        <v>64.76</v>
      </c>
      <c r="AR76" s="13">
        <v>15.4</v>
      </c>
      <c r="AS76" s="16">
        <f t="shared" si="20"/>
        <v>9.97304</v>
      </c>
      <c r="AT76" s="13">
        <v>43.2</v>
      </c>
      <c r="AU76" s="13">
        <v>265</v>
      </c>
      <c r="AV76" s="13">
        <v>727.3</v>
      </c>
      <c r="AW76" s="13">
        <v>72</v>
      </c>
      <c r="AX76" s="16">
        <f t="shared" si="21"/>
        <v>523.656</v>
      </c>
      <c r="AY76" s="16">
        <f t="shared" si="23"/>
        <v>67.551624</v>
      </c>
      <c r="AZ76" s="31">
        <v>5</v>
      </c>
      <c r="BA76" s="13">
        <v>0.3</v>
      </c>
      <c r="BB76" s="13">
        <v>4150</v>
      </c>
      <c r="BC76" s="13">
        <v>49.82</v>
      </c>
      <c r="BD76" s="13">
        <v>12.8</v>
      </c>
      <c r="BE76" s="16">
        <f t="shared" si="22"/>
        <v>6.37696</v>
      </c>
      <c r="BF76" s="13">
        <v>42.4</v>
      </c>
      <c r="BG76" s="13">
        <v>169</v>
      </c>
      <c r="BH76" s="31">
        <v>159.14</v>
      </c>
      <c r="BI76" s="13">
        <v>180.5</v>
      </c>
      <c r="BJ76" s="31">
        <v>8549.6</v>
      </c>
      <c r="BK76" s="31">
        <v>1102.9</v>
      </c>
      <c r="BL76" s="31">
        <v>15.7</v>
      </c>
      <c r="BM76" s="13">
        <v>690259</v>
      </c>
      <c r="BN76" s="31">
        <v>99.2</v>
      </c>
      <c r="BO76" s="13" t="s">
        <v>103</v>
      </c>
      <c r="BP76" s="16">
        <f t="shared" si="14"/>
        <v>11.002</v>
      </c>
      <c r="BQ76" s="16">
        <f t="shared" si="15"/>
        <v>55.5376232274062</v>
      </c>
      <c r="BR76" s="16">
        <f t="shared" si="24"/>
        <v>61.5653840200918</v>
      </c>
      <c r="BS76" s="102">
        <f t="shared" si="25"/>
        <v>36.2264150943396</v>
      </c>
      <c r="BT76" s="13" t="s">
        <v>102</v>
      </c>
      <c r="BU76" s="13" t="s">
        <v>105</v>
      </c>
      <c r="BV76" s="12">
        <v>45886</v>
      </c>
      <c r="BW76" s="13" t="s">
        <v>105</v>
      </c>
      <c r="BX76" s="31">
        <v>10</v>
      </c>
      <c r="BY76" s="13" t="s">
        <v>103</v>
      </c>
      <c r="BZ76" s="13" t="s">
        <v>103</v>
      </c>
      <c r="CA76" s="13" t="s">
        <v>103</v>
      </c>
    </row>
    <row r="77" spans="1:79">
      <c r="A77" s="12">
        <v>45884</v>
      </c>
      <c r="B77" s="13">
        <v>25108006</v>
      </c>
      <c r="C77" s="13"/>
      <c r="D77" s="13"/>
      <c r="E77" s="13">
        <v>1</v>
      </c>
      <c r="F77" s="13" t="s">
        <v>91</v>
      </c>
      <c r="G77" s="13">
        <v>22</v>
      </c>
      <c r="H77" s="13">
        <v>41</v>
      </c>
      <c r="I77" s="13" t="s">
        <v>124</v>
      </c>
      <c r="J77" s="13" t="s">
        <v>112</v>
      </c>
      <c r="K77" s="13" t="s">
        <v>94</v>
      </c>
      <c r="L77" s="13">
        <v>600</v>
      </c>
      <c r="M77" s="13">
        <v>4</v>
      </c>
      <c r="N77" s="13" t="s">
        <v>103</v>
      </c>
      <c r="O77" s="13">
        <v>65</v>
      </c>
      <c r="P77" s="31">
        <v>1.71</v>
      </c>
      <c r="Q77" s="16">
        <f t="shared" si="19"/>
        <v>22.2290619335864</v>
      </c>
      <c r="R77" s="13">
        <v>74</v>
      </c>
      <c r="S77" s="13" t="s">
        <v>95</v>
      </c>
      <c r="T77" s="13">
        <v>244</v>
      </c>
      <c r="U77" s="13">
        <v>4531</v>
      </c>
      <c r="V77" s="16">
        <f t="shared" si="17"/>
        <v>4.00022070183183</v>
      </c>
      <c r="W77" s="87">
        <f t="shared" si="18"/>
        <v>17228</v>
      </c>
      <c r="X77" s="13">
        <v>18125</v>
      </c>
      <c r="Y77" s="13">
        <v>897</v>
      </c>
      <c r="Z77" s="13">
        <v>226</v>
      </c>
      <c r="AA77" s="13">
        <v>274.6</v>
      </c>
      <c r="AB77" s="13" t="s">
        <v>96</v>
      </c>
      <c r="AC77" s="13" t="s">
        <v>121</v>
      </c>
      <c r="AD77" s="13" t="s">
        <v>122</v>
      </c>
      <c r="AE77" s="13">
        <v>80</v>
      </c>
      <c r="AF77" s="13">
        <v>85</v>
      </c>
      <c r="AG77" s="13">
        <v>85</v>
      </c>
      <c r="AH77" s="13" t="s">
        <v>99</v>
      </c>
      <c r="AI77" s="13" t="s">
        <v>100</v>
      </c>
      <c r="AJ77" s="13" t="s">
        <v>101</v>
      </c>
      <c r="AK77" s="11" t="s">
        <v>102</v>
      </c>
      <c r="AL77" s="13">
        <v>180.2</v>
      </c>
      <c r="AM77" s="13" t="s">
        <v>100</v>
      </c>
      <c r="AN77" s="13" t="s">
        <v>101</v>
      </c>
      <c r="AO77" s="13" t="s">
        <v>102</v>
      </c>
      <c r="AP77" s="13">
        <v>188.5</v>
      </c>
      <c r="AQ77" s="13">
        <v>56.01</v>
      </c>
      <c r="AR77" s="13">
        <v>20.2</v>
      </c>
      <c r="AS77" s="16">
        <f t="shared" si="20"/>
        <v>11.31402</v>
      </c>
      <c r="AT77" s="13">
        <v>43.4</v>
      </c>
      <c r="AU77" s="13">
        <v>192</v>
      </c>
      <c r="AV77" s="13">
        <v>591.5</v>
      </c>
      <c r="AW77" s="13">
        <v>68.7</v>
      </c>
      <c r="AX77" s="16">
        <f t="shared" si="21"/>
        <v>406.3605</v>
      </c>
      <c r="AY77" s="16">
        <f t="shared" si="23"/>
        <v>111.5865933</v>
      </c>
      <c r="AZ77" s="31">
        <v>4</v>
      </c>
      <c r="BA77" s="13">
        <v>0.5</v>
      </c>
      <c r="BB77" s="13">
        <v>2770</v>
      </c>
      <c r="BC77" s="13">
        <v>35.56</v>
      </c>
      <c r="BD77" s="13">
        <v>13.9</v>
      </c>
      <c r="BE77" s="16">
        <f t="shared" si="22"/>
        <v>4.94284</v>
      </c>
      <c r="BF77" s="13">
        <v>42.5</v>
      </c>
      <c r="BG77" s="13">
        <v>98</v>
      </c>
      <c r="BH77" s="31">
        <v>67.5</v>
      </c>
      <c r="BI77" s="13">
        <v>84.7</v>
      </c>
      <c r="BJ77" s="31">
        <v>3597.5</v>
      </c>
      <c r="BK77" s="31">
        <v>804.04</v>
      </c>
      <c r="BL77" s="31">
        <v>10.86</v>
      </c>
      <c r="BM77" s="13">
        <v>634887</v>
      </c>
      <c r="BN77" s="31">
        <v>97.7</v>
      </c>
      <c r="BO77" s="13" t="s">
        <v>103</v>
      </c>
      <c r="BP77" s="16">
        <f t="shared" si="14"/>
        <v>17.228</v>
      </c>
      <c r="BQ77" s="16">
        <f t="shared" si="15"/>
        <v>55.1009874099137</v>
      </c>
      <c r="BR77" s="16">
        <f t="shared" si="24"/>
        <v>57.2479861367972</v>
      </c>
      <c r="BS77" s="102">
        <f t="shared" si="25"/>
        <v>48.9583333333333</v>
      </c>
      <c r="BT77" s="13" t="s">
        <v>102</v>
      </c>
      <c r="BU77" s="13" t="s">
        <v>105</v>
      </c>
      <c r="BV77" s="12">
        <v>45886</v>
      </c>
      <c r="BW77" s="13" t="s">
        <v>105</v>
      </c>
      <c r="BX77" s="31">
        <v>10.86</v>
      </c>
      <c r="BY77" s="13" t="s">
        <v>103</v>
      </c>
      <c r="BZ77" s="13" t="s">
        <v>103</v>
      </c>
      <c r="CA77" s="13" t="s">
        <v>103</v>
      </c>
    </row>
    <row r="78" spans="1:79">
      <c r="A78" s="12">
        <v>45896</v>
      </c>
      <c r="B78" s="13">
        <v>25108008</v>
      </c>
      <c r="C78" s="13"/>
      <c r="D78" s="13"/>
      <c r="E78" s="13">
        <v>1</v>
      </c>
      <c r="F78" s="13" t="s">
        <v>111</v>
      </c>
      <c r="G78" s="13">
        <v>16</v>
      </c>
      <c r="H78" s="13">
        <v>48</v>
      </c>
      <c r="I78" s="13" t="s">
        <v>124</v>
      </c>
      <c r="J78" s="13" t="s">
        <v>112</v>
      </c>
      <c r="K78" s="13" t="s">
        <v>94</v>
      </c>
      <c r="L78" s="13">
        <v>600</v>
      </c>
      <c r="M78" s="13">
        <v>4</v>
      </c>
      <c r="N78" s="13" t="s">
        <v>103</v>
      </c>
      <c r="O78" s="13">
        <v>62.5</v>
      </c>
      <c r="P78" s="31">
        <v>1.7</v>
      </c>
      <c r="Q78" s="16">
        <f t="shared" si="19"/>
        <v>21.6262975778547</v>
      </c>
      <c r="R78" s="13">
        <v>64.5</v>
      </c>
      <c r="S78" s="13" t="s">
        <v>95</v>
      </c>
      <c r="T78" s="13">
        <v>242</v>
      </c>
      <c r="U78" s="13">
        <v>3984</v>
      </c>
      <c r="V78" s="16">
        <f t="shared" si="17"/>
        <v>3</v>
      </c>
      <c r="W78" s="87">
        <f t="shared" si="18"/>
        <v>11331</v>
      </c>
      <c r="X78" s="13">
        <v>11952</v>
      </c>
      <c r="Y78" s="13">
        <v>621</v>
      </c>
      <c r="Z78" s="13">
        <v>224</v>
      </c>
      <c r="AA78" s="13">
        <v>214.7</v>
      </c>
      <c r="AB78" s="13" t="s">
        <v>96</v>
      </c>
      <c r="AC78" s="13" t="s">
        <v>121</v>
      </c>
      <c r="AD78" s="13" t="s">
        <v>122</v>
      </c>
      <c r="AE78" s="13">
        <v>45</v>
      </c>
      <c r="AF78" s="13">
        <v>55</v>
      </c>
      <c r="AG78" s="13">
        <v>55</v>
      </c>
      <c r="AH78" s="13" t="s">
        <v>99</v>
      </c>
      <c r="AI78" s="13" t="s">
        <v>110</v>
      </c>
      <c r="AJ78" s="13" t="s">
        <v>101</v>
      </c>
      <c r="AK78" s="13" t="s">
        <v>102</v>
      </c>
      <c r="AL78" s="13">
        <v>53.4</v>
      </c>
      <c r="AM78" s="13" t="s">
        <v>123</v>
      </c>
      <c r="AN78" s="13" t="s">
        <v>101</v>
      </c>
      <c r="AO78" s="13" t="s">
        <v>102</v>
      </c>
      <c r="AP78" s="13">
        <v>82.9</v>
      </c>
      <c r="AQ78" s="13">
        <v>72.04</v>
      </c>
      <c r="AR78" s="13">
        <v>20.7</v>
      </c>
      <c r="AS78" s="16">
        <f t="shared" si="20"/>
        <v>14.91228</v>
      </c>
      <c r="AT78" s="13">
        <v>39.7</v>
      </c>
      <c r="AU78" s="13">
        <v>238</v>
      </c>
      <c r="AV78" s="13">
        <v>542.8</v>
      </c>
      <c r="AW78" s="13">
        <v>70.9</v>
      </c>
      <c r="AX78" s="16">
        <f t="shared" si="21"/>
        <v>384.8452</v>
      </c>
      <c r="AY78" s="16">
        <f t="shared" si="23"/>
        <v>82.62626444</v>
      </c>
      <c r="AZ78" s="31">
        <v>0.4</v>
      </c>
      <c r="BA78" s="13">
        <v>0.2</v>
      </c>
      <c r="BB78" s="13">
        <v>1700</v>
      </c>
      <c r="BC78" s="13">
        <v>50.76</v>
      </c>
      <c r="BD78" s="13">
        <v>15.2</v>
      </c>
      <c r="BE78" s="16">
        <f t="shared" si="22"/>
        <v>7.71552</v>
      </c>
      <c r="BF78" s="13">
        <v>37.5</v>
      </c>
      <c r="BG78" s="13">
        <v>150</v>
      </c>
      <c r="BH78" s="31">
        <v>34.1</v>
      </c>
      <c r="BI78" s="13">
        <v>121</v>
      </c>
      <c r="BJ78" s="31">
        <v>3777.3</v>
      </c>
      <c r="BK78" s="31">
        <v>810.9</v>
      </c>
      <c r="BL78" s="31">
        <v>12.5</v>
      </c>
      <c r="BM78" s="13">
        <v>612923</v>
      </c>
      <c r="BN78" s="31">
        <v>99.8</v>
      </c>
      <c r="BO78" s="13" t="s">
        <v>103</v>
      </c>
      <c r="BP78" s="16">
        <f t="shared" si="14"/>
        <v>11.331</v>
      </c>
      <c r="BQ78" s="16">
        <f t="shared" si="15"/>
        <v>59.1444081948812</v>
      </c>
      <c r="BR78" s="16">
        <f t="shared" si="24"/>
        <v>48.8996588714231</v>
      </c>
      <c r="BS78" s="102">
        <f t="shared" si="25"/>
        <v>36.9747899159664</v>
      </c>
      <c r="BT78" s="13" t="s">
        <v>102</v>
      </c>
      <c r="BU78" s="13" t="s">
        <v>105</v>
      </c>
      <c r="BV78" s="12">
        <v>45897</v>
      </c>
      <c r="BW78" s="13" t="s">
        <v>105</v>
      </c>
      <c r="BX78" s="31">
        <v>10</v>
      </c>
      <c r="BY78" s="13" t="s">
        <v>103</v>
      </c>
      <c r="BZ78" s="13" t="s">
        <v>103</v>
      </c>
      <c r="CA78" s="13" t="s">
        <v>103</v>
      </c>
    </row>
    <row r="79" spans="1:79">
      <c r="A79" s="12">
        <v>45898</v>
      </c>
      <c r="B79" s="13">
        <v>25108009</v>
      </c>
      <c r="C79" s="13"/>
      <c r="D79" s="13"/>
      <c r="E79" s="13">
        <v>1</v>
      </c>
      <c r="F79" s="13" t="s">
        <v>111</v>
      </c>
      <c r="G79" s="13">
        <v>22</v>
      </c>
      <c r="H79" s="13">
        <v>57</v>
      </c>
      <c r="I79" s="13" t="s">
        <v>124</v>
      </c>
      <c r="J79" s="13" t="s">
        <v>112</v>
      </c>
      <c r="K79" s="13" t="s">
        <v>94</v>
      </c>
      <c r="L79" s="13">
        <v>900</v>
      </c>
      <c r="M79" s="13">
        <v>4</v>
      </c>
      <c r="N79" s="13" t="s">
        <v>103</v>
      </c>
      <c r="O79" s="13">
        <v>83.4</v>
      </c>
      <c r="P79" s="31">
        <v>1.76</v>
      </c>
      <c r="Q79" s="16">
        <f t="shared" si="19"/>
        <v>26.9240702479339</v>
      </c>
      <c r="R79" s="13">
        <v>73.2</v>
      </c>
      <c r="S79" s="13" t="s">
        <v>95</v>
      </c>
      <c r="T79" s="13">
        <v>161</v>
      </c>
      <c r="U79" s="13">
        <v>4870</v>
      </c>
      <c r="V79" s="16">
        <f t="shared" si="17"/>
        <v>2.50020533880903</v>
      </c>
      <c r="W79" s="87">
        <f t="shared" si="18"/>
        <v>11571</v>
      </c>
      <c r="X79" s="13">
        <v>12176</v>
      </c>
      <c r="Y79" s="13">
        <v>605</v>
      </c>
      <c r="Z79" s="13">
        <v>145</v>
      </c>
      <c r="AA79" s="13">
        <v>142.6</v>
      </c>
      <c r="AB79" s="13" t="s">
        <v>96</v>
      </c>
      <c r="AC79" s="13" t="s">
        <v>121</v>
      </c>
      <c r="AD79" s="13" t="s">
        <v>98</v>
      </c>
      <c r="AE79" s="13">
        <v>80</v>
      </c>
      <c r="AF79" s="13">
        <v>80</v>
      </c>
      <c r="AG79" s="13">
        <v>80</v>
      </c>
      <c r="AH79" s="13" t="s">
        <v>158</v>
      </c>
      <c r="AI79" s="13" t="s">
        <v>100</v>
      </c>
      <c r="AJ79" s="13" t="s">
        <v>102</v>
      </c>
      <c r="AK79" s="13" t="s">
        <v>102</v>
      </c>
      <c r="AL79" s="13" t="s">
        <v>102</v>
      </c>
      <c r="AM79" s="13" t="s">
        <v>100</v>
      </c>
      <c r="AN79" s="13" t="s">
        <v>101</v>
      </c>
      <c r="AO79" s="13" t="s">
        <v>102</v>
      </c>
      <c r="AP79" s="13" t="s">
        <v>113</v>
      </c>
      <c r="AQ79" s="13">
        <v>54.52</v>
      </c>
      <c r="AR79" s="13">
        <v>23.1</v>
      </c>
      <c r="AS79" s="16">
        <f t="shared" si="20"/>
        <v>12.59412</v>
      </c>
      <c r="AT79" s="13">
        <v>41.2</v>
      </c>
      <c r="AU79" s="13">
        <v>186</v>
      </c>
      <c r="AV79" s="13">
        <v>840.9</v>
      </c>
      <c r="AW79" s="13">
        <v>58.6</v>
      </c>
      <c r="AX79" s="16">
        <f t="shared" si="21"/>
        <v>492.7674</v>
      </c>
      <c r="AY79" s="16">
        <f t="shared" si="23"/>
        <v>70.26863124</v>
      </c>
      <c r="AZ79" s="31">
        <v>4</v>
      </c>
      <c r="BA79" s="13">
        <v>0.3</v>
      </c>
      <c r="BB79" s="13">
        <v>1530</v>
      </c>
      <c r="BC79" s="13">
        <v>42.89</v>
      </c>
      <c r="BD79" s="13">
        <v>15.3</v>
      </c>
      <c r="BE79" s="16">
        <f t="shared" si="22"/>
        <v>6.56217</v>
      </c>
      <c r="BF79" s="13">
        <v>40.5</v>
      </c>
      <c r="BG79" s="13">
        <v>143</v>
      </c>
      <c r="BH79" s="31">
        <v>77.4</v>
      </c>
      <c r="BI79" s="13">
        <v>118.3</v>
      </c>
      <c r="BJ79" s="31">
        <v>5208.2</v>
      </c>
      <c r="BK79" s="31">
        <v>742.6</v>
      </c>
      <c r="BL79" s="31">
        <v>10.1</v>
      </c>
      <c r="BM79" s="13">
        <v>844095</v>
      </c>
      <c r="BN79" s="31">
        <v>98.9</v>
      </c>
      <c r="BO79" s="13" t="s">
        <v>103</v>
      </c>
      <c r="BP79" s="16">
        <f t="shared" si="14"/>
        <v>11.571</v>
      </c>
      <c r="BQ79" s="16">
        <f t="shared" si="15"/>
        <v>54.2499455564612</v>
      </c>
      <c r="BR79" s="16">
        <f t="shared" si="24"/>
        <v>48.2195078404845</v>
      </c>
      <c r="BS79" s="102">
        <f t="shared" si="25"/>
        <v>23.1182795698925</v>
      </c>
      <c r="BT79" s="13" t="s">
        <v>102</v>
      </c>
      <c r="BU79" s="13" t="s">
        <v>105</v>
      </c>
      <c r="BV79" s="12">
        <v>45898</v>
      </c>
      <c r="BW79" s="13" t="s">
        <v>105</v>
      </c>
      <c r="BX79" s="31">
        <v>10.1</v>
      </c>
      <c r="BY79" s="13" t="s">
        <v>103</v>
      </c>
      <c r="BZ79" s="13" t="s">
        <v>103</v>
      </c>
      <c r="CA79" s="13" t="s">
        <v>103</v>
      </c>
    </row>
    <row r="80" spans="1:79">
      <c r="A80" s="12">
        <v>45905</v>
      </c>
      <c r="B80" s="13">
        <v>25109002</v>
      </c>
      <c r="C80" s="13"/>
      <c r="D80" s="13"/>
      <c r="E80" s="13">
        <v>1</v>
      </c>
      <c r="F80" s="13" t="s">
        <v>91</v>
      </c>
      <c r="G80" s="13">
        <v>13</v>
      </c>
      <c r="H80" s="13">
        <v>22</v>
      </c>
      <c r="I80" s="13" t="s">
        <v>124</v>
      </c>
      <c r="J80" s="13" t="s">
        <v>125</v>
      </c>
      <c r="K80" s="13" t="s">
        <v>94</v>
      </c>
      <c r="L80" s="13">
        <v>600</v>
      </c>
      <c r="M80" s="13">
        <v>4</v>
      </c>
      <c r="N80" s="13" t="s">
        <v>103</v>
      </c>
      <c r="O80" s="13">
        <v>78</v>
      </c>
      <c r="P80" s="31">
        <v>1.7</v>
      </c>
      <c r="Q80" s="16">
        <f t="shared" si="19"/>
        <v>26.9896193771626</v>
      </c>
      <c r="R80" s="13">
        <v>73.3</v>
      </c>
      <c r="S80" s="13" t="s">
        <v>95</v>
      </c>
      <c r="T80" s="13">
        <v>299</v>
      </c>
      <c r="U80" s="13">
        <v>4982</v>
      </c>
      <c r="V80" s="16">
        <f t="shared" si="17"/>
        <v>4.5</v>
      </c>
      <c r="W80" s="87">
        <f t="shared" si="18"/>
        <v>21325</v>
      </c>
      <c r="X80" s="13">
        <v>22419</v>
      </c>
      <c r="Y80" s="13">
        <v>1094</v>
      </c>
      <c r="Z80" s="13">
        <v>282</v>
      </c>
      <c r="AA80" s="13">
        <v>269.1</v>
      </c>
      <c r="AB80" s="13" t="s">
        <v>96</v>
      </c>
      <c r="AC80" s="13" t="s">
        <v>121</v>
      </c>
      <c r="AD80" s="13" t="s">
        <v>98</v>
      </c>
      <c r="AE80" s="13">
        <v>78</v>
      </c>
      <c r="AF80" s="13">
        <v>79</v>
      </c>
      <c r="AG80" s="13">
        <v>80</v>
      </c>
      <c r="AH80" s="13" t="s">
        <v>109</v>
      </c>
      <c r="AI80" s="13" t="s">
        <v>100</v>
      </c>
      <c r="AJ80" s="13" t="s">
        <v>101</v>
      </c>
      <c r="AK80" s="11">
        <v>1.62</v>
      </c>
      <c r="AL80" s="118">
        <v>105.9</v>
      </c>
      <c r="AM80" s="13" t="s">
        <v>100</v>
      </c>
      <c r="AN80" s="13" t="s">
        <v>101</v>
      </c>
      <c r="AO80" s="13" t="s">
        <v>102</v>
      </c>
      <c r="AP80" s="13">
        <v>177.4</v>
      </c>
      <c r="AQ80" s="13">
        <v>62.1</v>
      </c>
      <c r="AR80" s="13">
        <v>19.1</v>
      </c>
      <c r="AS80" s="16">
        <f t="shared" si="20"/>
        <v>11.8611</v>
      </c>
      <c r="AT80" s="13">
        <v>38.2</v>
      </c>
      <c r="AU80" s="13">
        <v>204</v>
      </c>
      <c r="AV80" s="13">
        <v>621.6</v>
      </c>
      <c r="AW80" s="13">
        <v>79.6</v>
      </c>
      <c r="AX80" s="16">
        <f t="shared" si="21"/>
        <v>494.7936</v>
      </c>
      <c r="AY80" s="16">
        <f t="shared" si="23"/>
        <v>133.14895776</v>
      </c>
      <c r="AZ80" s="31">
        <v>4</v>
      </c>
      <c r="BA80" s="13">
        <v>0.3</v>
      </c>
      <c r="BB80" s="13">
        <v>2070</v>
      </c>
      <c r="BC80" s="13">
        <v>49.23</v>
      </c>
      <c r="BD80" s="13">
        <v>13.1</v>
      </c>
      <c r="BE80" s="16">
        <f t="shared" si="22"/>
        <v>6.44913</v>
      </c>
      <c r="BF80" s="13">
        <v>40.4</v>
      </c>
      <c r="BG80" s="13">
        <v>107</v>
      </c>
      <c r="BH80" s="31">
        <v>138.4</v>
      </c>
      <c r="BI80" s="13">
        <v>65.8</v>
      </c>
      <c r="BJ80" s="31">
        <v>2054.9</v>
      </c>
      <c r="BK80" s="31">
        <v>552.9</v>
      </c>
      <c r="BL80" s="31">
        <v>7.5</v>
      </c>
      <c r="BM80" s="13">
        <v>629174</v>
      </c>
      <c r="BN80" s="31">
        <v>99.2</v>
      </c>
      <c r="BO80" s="13" t="s">
        <v>103</v>
      </c>
      <c r="BP80" s="16">
        <f t="shared" si="14"/>
        <v>21.325</v>
      </c>
      <c r="BQ80" s="16">
        <f t="shared" si="15"/>
        <v>39.4032148291209</v>
      </c>
      <c r="BR80" s="16">
        <f t="shared" si="24"/>
        <v>52.6409555434162</v>
      </c>
      <c r="BS80" s="102">
        <f t="shared" si="25"/>
        <v>47.5490196078431</v>
      </c>
      <c r="BT80" s="13" t="s">
        <v>102</v>
      </c>
      <c r="BU80" s="13" t="s">
        <v>105</v>
      </c>
      <c r="BV80" s="12">
        <v>45905</v>
      </c>
      <c r="BW80" s="13" t="s">
        <v>105</v>
      </c>
      <c r="BX80" s="31">
        <v>7.5</v>
      </c>
      <c r="BY80" s="13" t="s">
        <v>103</v>
      </c>
      <c r="BZ80" s="13" t="s">
        <v>103</v>
      </c>
      <c r="CA80" s="13" t="s">
        <v>103</v>
      </c>
    </row>
    <row r="81" spans="1:79">
      <c r="A81" s="12">
        <v>45911</v>
      </c>
      <c r="B81" s="13">
        <v>25109006</v>
      </c>
      <c r="C81" s="13"/>
      <c r="D81" s="13"/>
      <c r="E81" s="13">
        <v>1</v>
      </c>
      <c r="F81" s="13" t="s">
        <v>91</v>
      </c>
      <c r="G81" s="13">
        <v>4</v>
      </c>
      <c r="H81" s="13">
        <v>12</v>
      </c>
      <c r="I81" s="13" t="s">
        <v>124</v>
      </c>
      <c r="J81" s="13" t="s">
        <v>159</v>
      </c>
      <c r="K81" s="13" t="s">
        <v>160</v>
      </c>
      <c r="L81" s="13">
        <v>300</v>
      </c>
      <c r="M81" s="13">
        <v>4</v>
      </c>
      <c r="N81" s="13" t="s">
        <v>103</v>
      </c>
      <c r="O81" s="13">
        <v>22</v>
      </c>
      <c r="P81" s="31">
        <v>1.28</v>
      </c>
      <c r="Q81" s="16">
        <f t="shared" si="19"/>
        <v>13.427734375</v>
      </c>
      <c r="R81" s="13">
        <v>38</v>
      </c>
      <c r="S81" s="13" t="s">
        <v>140</v>
      </c>
      <c r="T81" s="13">
        <v>217</v>
      </c>
      <c r="U81" s="13">
        <v>1540</v>
      </c>
      <c r="V81" s="16">
        <f t="shared" si="17"/>
        <v>5</v>
      </c>
      <c r="W81" s="87">
        <f t="shared" si="18"/>
        <v>7311</v>
      </c>
      <c r="X81" s="13">
        <v>7700</v>
      </c>
      <c r="Y81" s="13">
        <v>389</v>
      </c>
      <c r="Z81" s="13">
        <v>186</v>
      </c>
      <c r="AA81" s="13">
        <v>184.1</v>
      </c>
      <c r="AB81" s="13" t="s">
        <v>96</v>
      </c>
      <c r="AC81" s="13" t="s">
        <v>121</v>
      </c>
      <c r="AD81" s="13" t="s">
        <v>98</v>
      </c>
      <c r="AE81" s="13">
        <v>40</v>
      </c>
      <c r="AF81" s="13">
        <v>40</v>
      </c>
      <c r="AG81" s="13">
        <v>40</v>
      </c>
      <c r="AH81" s="13" t="s">
        <v>161</v>
      </c>
      <c r="AI81" s="13" t="s">
        <v>100</v>
      </c>
      <c r="AJ81" s="13" t="s">
        <v>101</v>
      </c>
      <c r="AK81" s="118" t="s">
        <v>102</v>
      </c>
      <c r="AL81" s="118" t="s">
        <v>102</v>
      </c>
      <c r="AM81" s="13" t="s">
        <v>100</v>
      </c>
      <c r="AN81" s="13" t="s">
        <v>101</v>
      </c>
      <c r="AO81" s="13" t="s">
        <v>102</v>
      </c>
      <c r="AP81" s="13">
        <v>217.5</v>
      </c>
      <c r="AQ81" s="13">
        <v>56.73</v>
      </c>
      <c r="AR81" s="13">
        <v>24</v>
      </c>
      <c r="AS81" s="16">
        <f t="shared" si="20"/>
        <v>13.6152</v>
      </c>
      <c r="AT81" s="13">
        <v>33.2</v>
      </c>
      <c r="AU81" s="13">
        <v>292</v>
      </c>
      <c r="AV81" s="13">
        <v>267.92</v>
      </c>
      <c r="AW81" s="13">
        <v>81.5</v>
      </c>
      <c r="AX81" s="16">
        <f t="shared" si="21"/>
        <v>218.3548</v>
      </c>
      <c r="AY81" s="16">
        <f t="shared" si="23"/>
        <v>40.19911868</v>
      </c>
      <c r="AZ81" s="31">
        <v>1.5</v>
      </c>
      <c r="BA81" s="13">
        <v>0.14</v>
      </c>
      <c r="BB81" s="13">
        <v>1181</v>
      </c>
      <c r="BC81" s="13">
        <v>38.3</v>
      </c>
      <c r="BD81" s="13">
        <v>15.5</v>
      </c>
      <c r="BE81" s="16">
        <f t="shared" si="22"/>
        <v>5.9365</v>
      </c>
      <c r="BF81" s="13">
        <v>33.4</v>
      </c>
      <c r="BG81" s="13">
        <v>105</v>
      </c>
      <c r="BH81" s="31">
        <v>138.4</v>
      </c>
      <c r="BI81" s="13">
        <v>161.6</v>
      </c>
      <c r="BJ81" s="31">
        <v>2774.8</v>
      </c>
      <c r="BK81" s="31">
        <v>510.8</v>
      </c>
      <c r="BL81" s="31">
        <v>13.4</v>
      </c>
      <c r="BM81" s="13">
        <v>305196</v>
      </c>
      <c r="BN81" s="31">
        <v>98.6</v>
      </c>
      <c r="BO81" s="13" t="s">
        <v>103</v>
      </c>
      <c r="BP81" s="16">
        <f t="shared" si="14"/>
        <v>7.311</v>
      </c>
      <c r="BQ81" s="16">
        <f t="shared" si="15"/>
        <v>43.2347297101479</v>
      </c>
      <c r="BR81" s="16">
        <f t="shared" si="24"/>
        <v>40.3845941362582</v>
      </c>
      <c r="BS81" s="102">
        <f t="shared" si="25"/>
        <v>64.041095890411</v>
      </c>
      <c r="BT81" s="13" t="s">
        <v>102</v>
      </c>
      <c r="BU81" s="13" t="s">
        <v>105</v>
      </c>
      <c r="BV81" s="12">
        <v>45913</v>
      </c>
      <c r="BW81" s="13" t="s">
        <v>105</v>
      </c>
      <c r="BX81" s="31">
        <v>10</v>
      </c>
      <c r="BY81" s="13" t="s">
        <v>103</v>
      </c>
      <c r="BZ81" s="13" t="s">
        <v>103</v>
      </c>
      <c r="CA81" s="13" t="s">
        <v>103</v>
      </c>
    </row>
    <row r="82" spans="1:79">
      <c r="A82" s="12">
        <v>45912</v>
      </c>
      <c r="B82" s="13">
        <v>25109007</v>
      </c>
      <c r="C82" s="13"/>
      <c r="D82" s="13"/>
      <c r="E82" s="13">
        <v>1</v>
      </c>
      <c r="F82" s="13" t="s">
        <v>91</v>
      </c>
      <c r="G82" s="13">
        <v>37</v>
      </c>
      <c r="H82" s="13">
        <v>39</v>
      </c>
      <c r="I82" s="13" t="s">
        <v>124</v>
      </c>
      <c r="J82" s="13" t="s">
        <v>125</v>
      </c>
      <c r="K82" s="13" t="s">
        <v>94</v>
      </c>
      <c r="L82" s="13">
        <v>900</v>
      </c>
      <c r="M82" s="13">
        <v>4</v>
      </c>
      <c r="N82" s="13" t="s">
        <v>103</v>
      </c>
      <c r="O82" s="13">
        <v>70.8</v>
      </c>
      <c r="P82" s="31">
        <v>1.67</v>
      </c>
      <c r="Q82" s="16">
        <f t="shared" si="19"/>
        <v>25.3863530424182</v>
      </c>
      <c r="R82" s="13">
        <v>72.8</v>
      </c>
      <c r="S82" s="13" t="s">
        <v>95</v>
      </c>
      <c r="T82" s="13">
        <v>231</v>
      </c>
      <c r="U82" s="13">
        <v>4598</v>
      </c>
      <c r="V82" s="16">
        <f t="shared" si="17"/>
        <v>3.80013049151805</v>
      </c>
      <c r="W82" s="87">
        <f t="shared" si="18"/>
        <v>16615</v>
      </c>
      <c r="X82" s="13">
        <v>17473</v>
      </c>
      <c r="Y82" s="13">
        <v>858</v>
      </c>
      <c r="Z82" s="13">
        <v>217</v>
      </c>
      <c r="AA82" s="13">
        <v>214.8</v>
      </c>
      <c r="AB82" s="13" t="s">
        <v>96</v>
      </c>
      <c r="AC82" s="13" t="s">
        <v>121</v>
      </c>
      <c r="AD82" s="13" t="s">
        <v>98</v>
      </c>
      <c r="AE82" s="13">
        <v>80</v>
      </c>
      <c r="AF82" s="13">
        <v>80</v>
      </c>
      <c r="AG82" s="13">
        <v>80</v>
      </c>
      <c r="AH82" s="13" t="s">
        <v>99</v>
      </c>
      <c r="AI82" s="13" t="s">
        <v>110</v>
      </c>
      <c r="AJ82" s="13" t="s">
        <v>101</v>
      </c>
      <c r="AK82" s="11" t="s">
        <v>102</v>
      </c>
      <c r="AL82" s="118">
        <v>225.8</v>
      </c>
      <c r="AM82" s="13" t="s">
        <v>110</v>
      </c>
      <c r="AN82" s="13" t="s">
        <v>101</v>
      </c>
      <c r="AO82" s="13" t="s">
        <v>102</v>
      </c>
      <c r="AP82" s="13" t="s">
        <v>113</v>
      </c>
      <c r="AQ82" s="13">
        <v>46.23</v>
      </c>
      <c r="AR82" s="13">
        <v>16.1</v>
      </c>
      <c r="AS82" s="16">
        <f t="shared" si="20"/>
        <v>7.44303</v>
      </c>
      <c r="AT82" s="13">
        <v>46.1</v>
      </c>
      <c r="AU82" s="13">
        <v>192</v>
      </c>
      <c r="AV82" s="13">
        <v>372.7</v>
      </c>
      <c r="AW82" s="13">
        <v>47.2</v>
      </c>
      <c r="AX82" s="16">
        <f t="shared" si="21"/>
        <v>175.9144</v>
      </c>
      <c r="AY82" s="16">
        <f t="shared" si="23"/>
        <v>37.78641312</v>
      </c>
      <c r="AZ82" s="31">
        <v>3.7</v>
      </c>
      <c r="BA82" s="13">
        <v>0.45</v>
      </c>
      <c r="BB82" s="13">
        <v>3103</v>
      </c>
      <c r="BC82" s="13">
        <v>32.99</v>
      </c>
      <c r="BD82" s="13">
        <v>14.6</v>
      </c>
      <c r="BE82" s="16">
        <f t="shared" si="22"/>
        <v>4.81654</v>
      </c>
      <c r="BF82" s="13">
        <v>46.2</v>
      </c>
      <c r="BG82" s="13">
        <v>81</v>
      </c>
      <c r="BH82" s="31">
        <v>39.4</v>
      </c>
      <c r="BI82" s="13">
        <v>93.5</v>
      </c>
      <c r="BJ82" s="31">
        <v>3086.6</v>
      </c>
      <c r="BK82" s="31">
        <v>662.9</v>
      </c>
      <c r="BL82" s="31">
        <v>9.1</v>
      </c>
      <c r="BM82" s="13">
        <v>380987</v>
      </c>
      <c r="BN82" s="31">
        <v>99.3</v>
      </c>
      <c r="BO82" s="13" t="s">
        <v>103</v>
      </c>
      <c r="BP82" s="16">
        <f t="shared" si="14"/>
        <v>16.615</v>
      </c>
      <c r="BQ82" s="16">
        <f t="shared" si="15"/>
        <v>42.6713185205688</v>
      </c>
      <c r="BR82" s="16">
        <f t="shared" si="24"/>
        <v>30.5552297308738</v>
      </c>
      <c r="BS82" s="102">
        <f t="shared" si="25"/>
        <v>57.8125</v>
      </c>
      <c r="BT82" s="13" t="s">
        <v>102</v>
      </c>
      <c r="BU82" s="13" t="s">
        <v>105</v>
      </c>
      <c r="BV82" s="12">
        <v>45914</v>
      </c>
      <c r="BW82" s="13" t="s">
        <v>105</v>
      </c>
      <c r="BX82" s="31">
        <v>9.1</v>
      </c>
      <c r="BY82" s="13" t="s">
        <v>103</v>
      </c>
      <c r="BZ82" s="13" t="s">
        <v>103</v>
      </c>
      <c r="CA82" s="13" t="s">
        <v>103</v>
      </c>
    </row>
    <row r="83" spans="1:79">
      <c r="A83" s="12">
        <v>45914</v>
      </c>
      <c r="B83" s="13">
        <v>25109008</v>
      </c>
      <c r="C83" s="13"/>
      <c r="D83" s="13"/>
      <c r="E83" s="13">
        <v>1</v>
      </c>
      <c r="F83" s="13" t="s">
        <v>91</v>
      </c>
      <c r="G83" s="13">
        <v>44</v>
      </c>
      <c r="H83" s="13">
        <v>44</v>
      </c>
      <c r="I83" s="13" t="s">
        <v>92</v>
      </c>
      <c r="J83" s="13" t="s">
        <v>117</v>
      </c>
      <c r="K83" s="13" t="s">
        <v>118</v>
      </c>
      <c r="L83" s="13">
        <v>900</v>
      </c>
      <c r="M83" s="13">
        <v>7</v>
      </c>
      <c r="N83" s="13" t="s">
        <v>103</v>
      </c>
      <c r="O83" s="13">
        <v>85.5</v>
      </c>
      <c r="P83" s="31">
        <v>1.76</v>
      </c>
      <c r="Q83" s="16">
        <f t="shared" si="19"/>
        <v>27.6020144628099</v>
      </c>
      <c r="R83" s="13">
        <v>85.5</v>
      </c>
      <c r="S83" s="13" t="s">
        <v>95</v>
      </c>
      <c r="T83" s="13">
        <v>309</v>
      </c>
      <c r="U83" s="13">
        <v>5373</v>
      </c>
      <c r="V83" s="16">
        <f t="shared" si="17"/>
        <v>4.500093057882</v>
      </c>
      <c r="W83" s="87">
        <f t="shared" si="18"/>
        <v>22994</v>
      </c>
      <c r="X83" s="13">
        <v>24179</v>
      </c>
      <c r="Y83" s="13">
        <v>1185</v>
      </c>
      <c r="Z83" s="13">
        <v>290</v>
      </c>
      <c r="AA83" s="13">
        <v>287.1</v>
      </c>
      <c r="AB83" s="13" t="s">
        <v>96</v>
      </c>
      <c r="AC83" s="13" t="s">
        <v>121</v>
      </c>
      <c r="AD83" s="13" t="s">
        <v>98</v>
      </c>
      <c r="AE83" s="13">
        <v>65</v>
      </c>
      <c r="AF83" s="13">
        <v>80</v>
      </c>
      <c r="AG83" s="13">
        <v>90</v>
      </c>
      <c r="AH83" s="13" t="s">
        <v>99</v>
      </c>
      <c r="AI83" s="13" t="s">
        <v>100</v>
      </c>
      <c r="AJ83" s="13" t="s">
        <v>101</v>
      </c>
      <c r="AK83" s="11">
        <v>2.13</v>
      </c>
      <c r="AL83" s="118" t="s">
        <v>102</v>
      </c>
      <c r="AM83" s="13" t="s">
        <v>100</v>
      </c>
      <c r="AN83" s="13" t="s">
        <v>101</v>
      </c>
      <c r="AO83" s="11">
        <v>2.13</v>
      </c>
      <c r="AP83" s="118" t="s">
        <v>102</v>
      </c>
      <c r="AQ83" s="13">
        <v>14.8</v>
      </c>
      <c r="AR83" s="13">
        <v>17.1</v>
      </c>
      <c r="AS83" s="16">
        <f t="shared" si="20"/>
        <v>2.5308</v>
      </c>
      <c r="AT83" s="13">
        <v>39.9</v>
      </c>
      <c r="AU83" s="13">
        <v>77</v>
      </c>
      <c r="AV83" s="13">
        <v>226.27</v>
      </c>
      <c r="AW83" s="13">
        <v>44.1</v>
      </c>
      <c r="AX83" s="16">
        <f t="shared" si="21"/>
        <v>99.78507</v>
      </c>
      <c r="AY83" s="16">
        <f t="shared" si="23"/>
        <v>28.648293597</v>
      </c>
      <c r="AZ83" s="31">
        <v>1.4</v>
      </c>
      <c r="BA83" s="13">
        <v>0.11</v>
      </c>
      <c r="BB83" s="13">
        <v>684</v>
      </c>
      <c r="BC83" s="13">
        <v>14.72</v>
      </c>
      <c r="BD83" s="13">
        <v>11.5</v>
      </c>
      <c r="BE83" s="16">
        <f t="shared" si="22"/>
        <v>1.6928</v>
      </c>
      <c r="BF83" s="13">
        <v>37.9</v>
      </c>
      <c r="BG83" s="13">
        <v>44</v>
      </c>
      <c r="BH83" s="31" t="s">
        <v>103</v>
      </c>
      <c r="BI83" s="13">
        <v>29.8</v>
      </c>
      <c r="BJ83" s="31">
        <v>1756.6</v>
      </c>
      <c r="BK83" s="31">
        <v>504.3</v>
      </c>
      <c r="BL83" s="31">
        <v>5.8</v>
      </c>
      <c r="BM83" s="13">
        <v>258168</v>
      </c>
      <c r="BN83" s="31">
        <v>99.5</v>
      </c>
      <c r="BO83" s="13" t="s">
        <v>103</v>
      </c>
      <c r="BP83" s="16">
        <f t="shared" si="14"/>
        <v>22.994</v>
      </c>
      <c r="BQ83" s="16">
        <f t="shared" si="15"/>
        <v>73.5966721403249</v>
      </c>
      <c r="BR83" s="16">
        <f t="shared" si="24"/>
        <v>49.2296112159137</v>
      </c>
      <c r="BS83" s="102">
        <f t="shared" si="25"/>
        <v>42.8571428571429</v>
      </c>
      <c r="BT83" s="13" t="s">
        <v>102</v>
      </c>
      <c r="BU83" s="13" t="s">
        <v>119</v>
      </c>
      <c r="BV83" s="12">
        <v>45919</v>
      </c>
      <c r="BW83" s="13" t="s">
        <v>119</v>
      </c>
      <c r="BX83" s="31">
        <v>5.8</v>
      </c>
      <c r="BY83" s="13" t="s">
        <v>103</v>
      </c>
      <c r="BZ83" s="13" t="s">
        <v>103</v>
      </c>
      <c r="CA83" s="13" t="s">
        <v>103</v>
      </c>
    </row>
    <row r="84" spans="1:79">
      <c r="A84" s="12">
        <v>45914</v>
      </c>
      <c r="B84" s="13">
        <v>25109009</v>
      </c>
      <c r="C84" s="13"/>
      <c r="D84" s="13"/>
      <c r="E84" s="13">
        <v>1</v>
      </c>
      <c r="F84" s="13" t="s">
        <v>111</v>
      </c>
      <c r="G84" s="13">
        <v>62</v>
      </c>
      <c r="H84" s="13">
        <v>62</v>
      </c>
      <c r="I84" s="13" t="s">
        <v>92</v>
      </c>
      <c r="J84" s="13" t="s">
        <v>117</v>
      </c>
      <c r="K84" s="13" t="s">
        <v>118</v>
      </c>
      <c r="L84" s="13">
        <v>600</v>
      </c>
      <c r="M84" s="13">
        <v>7</v>
      </c>
      <c r="N84" s="13" t="s">
        <v>103</v>
      </c>
      <c r="O84" s="13">
        <v>61.5</v>
      </c>
      <c r="P84" s="31">
        <v>1.62</v>
      </c>
      <c r="Q84" s="16">
        <f t="shared" si="19"/>
        <v>23.4339277549154</v>
      </c>
      <c r="R84" s="13">
        <v>61.5</v>
      </c>
      <c r="S84" s="13" t="s">
        <v>95</v>
      </c>
      <c r="T84" s="13">
        <v>248</v>
      </c>
      <c r="U84" s="13">
        <v>3923</v>
      </c>
      <c r="V84" s="16">
        <f t="shared" si="17"/>
        <v>5.00025490695896</v>
      </c>
      <c r="W84" s="87">
        <f t="shared" si="18"/>
        <v>18656</v>
      </c>
      <c r="X84" s="13">
        <v>19616</v>
      </c>
      <c r="Y84" s="13">
        <v>960</v>
      </c>
      <c r="Z84" s="13">
        <v>211</v>
      </c>
      <c r="AA84" s="13">
        <v>208.9</v>
      </c>
      <c r="AB84" s="13" t="s">
        <v>96</v>
      </c>
      <c r="AC84" s="13" t="s">
        <v>97</v>
      </c>
      <c r="AD84" s="13" t="s">
        <v>98</v>
      </c>
      <c r="AE84" s="13">
        <v>85</v>
      </c>
      <c r="AF84" s="13">
        <v>87.5</v>
      </c>
      <c r="AG84" s="13">
        <v>90</v>
      </c>
      <c r="AH84" s="13" t="s">
        <v>99</v>
      </c>
      <c r="AI84" s="13" t="s">
        <v>123</v>
      </c>
      <c r="AJ84" s="13" t="s">
        <v>101</v>
      </c>
      <c r="AK84" s="118" t="s">
        <v>102</v>
      </c>
      <c r="AL84" s="118">
        <v>103.5</v>
      </c>
      <c r="AM84" s="13" t="s">
        <v>123</v>
      </c>
      <c r="AN84" s="13" t="s">
        <v>101</v>
      </c>
      <c r="AO84" s="118" t="s">
        <v>102</v>
      </c>
      <c r="AP84" s="118">
        <v>103.5</v>
      </c>
      <c r="AQ84" s="13">
        <v>2.55</v>
      </c>
      <c r="AR84" s="13">
        <v>34.1</v>
      </c>
      <c r="AS84" s="16">
        <f t="shared" si="20"/>
        <v>0.86955</v>
      </c>
      <c r="AT84" s="13">
        <v>35.8</v>
      </c>
      <c r="AU84" s="13">
        <v>105</v>
      </c>
      <c r="AV84" s="13">
        <v>136.26</v>
      </c>
      <c r="AW84" s="13">
        <v>36.1</v>
      </c>
      <c r="AX84" s="16">
        <f t="shared" si="21"/>
        <v>49.18986</v>
      </c>
      <c r="AY84" s="16">
        <f t="shared" si="23"/>
        <v>10.275761754</v>
      </c>
      <c r="AZ84" s="31">
        <v>1.7</v>
      </c>
      <c r="BA84" s="13">
        <v>0.15</v>
      </c>
      <c r="BB84" s="13">
        <v>980</v>
      </c>
      <c r="BC84" s="13">
        <v>2.2</v>
      </c>
      <c r="BD84" s="13">
        <v>30.9</v>
      </c>
      <c r="BE84" s="16">
        <f t="shared" si="22"/>
        <v>0.6798</v>
      </c>
      <c r="BF84" s="13">
        <v>30.7</v>
      </c>
      <c r="BG84" s="13">
        <v>41</v>
      </c>
      <c r="BH84" s="31" t="s">
        <v>103</v>
      </c>
      <c r="BI84" s="13">
        <v>21.4</v>
      </c>
      <c r="BJ84" s="31">
        <v>1351.5</v>
      </c>
      <c r="BK84" s="31">
        <v>282.3</v>
      </c>
      <c r="BL84" s="31">
        <v>4.5</v>
      </c>
      <c r="BM84" s="13">
        <v>129953</v>
      </c>
      <c r="BN84" s="31">
        <v>99.4</v>
      </c>
      <c r="BO84" s="13" t="s">
        <v>103</v>
      </c>
      <c r="BP84" s="16">
        <f t="shared" si="14"/>
        <v>18.656</v>
      </c>
      <c r="BQ84" s="16">
        <f t="shared" si="15"/>
        <v>70.7096311376862</v>
      </c>
      <c r="BR84" s="16">
        <f t="shared" si="24"/>
        <v>63.3433363015885</v>
      </c>
      <c r="BS84" s="102">
        <f t="shared" si="25"/>
        <v>60.952380952381</v>
      </c>
      <c r="BT84" s="13" t="s">
        <v>102</v>
      </c>
      <c r="BU84" s="13" t="s">
        <v>119</v>
      </c>
      <c r="BV84" s="12">
        <v>45918</v>
      </c>
      <c r="BW84" s="13" t="s">
        <v>119</v>
      </c>
      <c r="BX84" s="31">
        <v>4.5</v>
      </c>
      <c r="BY84" s="13" t="s">
        <v>103</v>
      </c>
      <c r="BZ84" s="13" t="s">
        <v>103</v>
      </c>
      <c r="CA84" s="13" t="s">
        <v>103</v>
      </c>
    </row>
    <row r="85" spans="1:79">
      <c r="A85" s="12">
        <v>45915</v>
      </c>
      <c r="B85" s="13">
        <v>25109010</v>
      </c>
      <c r="C85" s="13"/>
      <c r="D85" s="13"/>
      <c r="E85" s="13">
        <v>1</v>
      </c>
      <c r="F85" s="13" t="s">
        <v>91</v>
      </c>
      <c r="G85" s="13">
        <v>28</v>
      </c>
      <c r="H85" s="13">
        <v>37</v>
      </c>
      <c r="I85" s="13" t="s">
        <v>120</v>
      </c>
      <c r="J85" s="13" t="s">
        <v>125</v>
      </c>
      <c r="K85" s="13" t="s">
        <v>94</v>
      </c>
      <c r="L85" s="13">
        <v>900</v>
      </c>
      <c r="M85" s="13">
        <v>4</v>
      </c>
      <c r="N85" s="13" t="s">
        <v>103</v>
      </c>
      <c r="O85" s="13">
        <v>108</v>
      </c>
      <c r="P85" s="31">
        <v>1.75</v>
      </c>
      <c r="Q85" s="16">
        <f t="shared" si="19"/>
        <v>35.265306122449</v>
      </c>
      <c r="R85" s="13">
        <v>71.2</v>
      </c>
      <c r="S85" s="13" t="s">
        <v>95</v>
      </c>
      <c r="T85" s="13">
        <v>312</v>
      </c>
      <c r="U85" s="13">
        <v>6047</v>
      </c>
      <c r="V85" s="16">
        <f t="shared" si="17"/>
        <v>3</v>
      </c>
      <c r="W85" s="87">
        <f t="shared" si="18"/>
        <v>17242</v>
      </c>
      <c r="X85" s="13">
        <v>18141</v>
      </c>
      <c r="Y85" s="13">
        <v>899</v>
      </c>
      <c r="Z85" s="13">
        <v>292</v>
      </c>
      <c r="AA85" s="13">
        <v>289.1</v>
      </c>
      <c r="AB85" s="13" t="s">
        <v>96</v>
      </c>
      <c r="AC85" s="13" t="s">
        <v>121</v>
      </c>
      <c r="AD85" s="13" t="s">
        <v>122</v>
      </c>
      <c r="AE85" s="13">
        <v>55</v>
      </c>
      <c r="AF85" s="13">
        <v>60</v>
      </c>
      <c r="AG85" s="13">
        <v>64</v>
      </c>
      <c r="AH85" s="13" t="s">
        <v>99</v>
      </c>
      <c r="AI85" s="13" t="s">
        <v>110</v>
      </c>
      <c r="AJ85" s="13" t="s">
        <v>101</v>
      </c>
      <c r="AK85" s="118" t="s">
        <v>102</v>
      </c>
      <c r="AL85" s="118">
        <v>200.7</v>
      </c>
      <c r="AM85" s="13" t="s">
        <v>110</v>
      </c>
      <c r="AN85" s="13" t="s">
        <v>101</v>
      </c>
      <c r="AO85" s="13" t="s">
        <v>102</v>
      </c>
      <c r="AP85" s="13" t="s">
        <v>113</v>
      </c>
      <c r="AQ85" s="13">
        <v>64.43</v>
      </c>
      <c r="AR85" s="13">
        <v>17.4</v>
      </c>
      <c r="AS85" s="16">
        <f t="shared" si="20"/>
        <v>11.21082</v>
      </c>
      <c r="AT85" s="13">
        <v>44.6</v>
      </c>
      <c r="AU85" s="13">
        <v>178</v>
      </c>
      <c r="AV85" s="13">
        <v>439.66</v>
      </c>
      <c r="AW85" s="13">
        <v>70.1</v>
      </c>
      <c r="AX85" s="16">
        <f t="shared" si="21"/>
        <v>308.20166</v>
      </c>
      <c r="AY85" s="16">
        <f t="shared" si="23"/>
        <v>89.101099906</v>
      </c>
      <c r="AZ85" s="31">
        <v>1.5</v>
      </c>
      <c r="BA85" s="13">
        <v>0.11</v>
      </c>
      <c r="BB85" s="13">
        <v>14787</v>
      </c>
      <c r="BC85" s="13">
        <v>44.16</v>
      </c>
      <c r="BD85" s="13">
        <v>13.4</v>
      </c>
      <c r="BE85" s="16">
        <f t="shared" si="22"/>
        <v>5.91744</v>
      </c>
      <c r="BF85" s="13">
        <v>45.3</v>
      </c>
      <c r="BG85" s="13">
        <v>108</v>
      </c>
      <c r="BH85" s="31" t="s">
        <v>103</v>
      </c>
      <c r="BI85" s="13">
        <v>81.3</v>
      </c>
      <c r="BJ85" s="31">
        <v>2732.1</v>
      </c>
      <c r="BK85" s="31">
        <v>789</v>
      </c>
      <c r="BL85" s="31">
        <v>11.09</v>
      </c>
      <c r="BM85" s="13">
        <v>508003</v>
      </c>
      <c r="BN85" s="31">
        <v>99.2</v>
      </c>
      <c r="BO85" s="13" t="s">
        <v>103</v>
      </c>
      <c r="BP85" s="16">
        <f t="shared" si="14"/>
        <v>17.242</v>
      </c>
      <c r="BQ85" s="16">
        <f t="shared" si="15"/>
        <v>56.2857965895516</v>
      </c>
      <c r="BR85" s="16">
        <f t="shared" si="24"/>
        <v>46.0954484876994</v>
      </c>
      <c r="BS85" s="102">
        <f t="shared" si="25"/>
        <v>39.3258426966292</v>
      </c>
      <c r="BT85" s="13" t="s">
        <v>102</v>
      </c>
      <c r="BU85" s="13" t="s">
        <v>105</v>
      </c>
      <c r="BV85" s="12">
        <v>45916</v>
      </c>
      <c r="BW85" s="13" t="s">
        <v>105</v>
      </c>
      <c r="BX85" s="31">
        <v>11.09</v>
      </c>
      <c r="BY85" s="13" t="s">
        <v>103</v>
      </c>
      <c r="BZ85" s="13" t="s">
        <v>103</v>
      </c>
      <c r="CA85" s="13" t="s">
        <v>103</v>
      </c>
    </row>
    <row r="86" spans="1:79">
      <c r="A86" s="12">
        <v>45918</v>
      </c>
      <c r="B86" s="13">
        <v>25109011</v>
      </c>
      <c r="C86" s="13"/>
      <c r="D86" s="13"/>
      <c r="E86" s="13">
        <v>1</v>
      </c>
      <c r="F86" s="13" t="s">
        <v>91</v>
      </c>
      <c r="G86" s="13">
        <v>58</v>
      </c>
      <c r="H86" s="13">
        <v>52</v>
      </c>
      <c r="I86" s="13" t="s">
        <v>120</v>
      </c>
      <c r="J86" s="13" t="s">
        <v>112</v>
      </c>
      <c r="K86" s="13" t="s">
        <v>94</v>
      </c>
      <c r="L86" s="13">
        <v>900</v>
      </c>
      <c r="M86" s="13">
        <v>4</v>
      </c>
      <c r="N86" s="13" t="s">
        <v>103</v>
      </c>
      <c r="O86" s="13">
        <v>84.5</v>
      </c>
      <c r="P86" s="31">
        <v>1.72</v>
      </c>
      <c r="Q86" s="16">
        <f t="shared" si="19"/>
        <v>28.5627366143862</v>
      </c>
      <c r="R86" s="13">
        <v>52.5</v>
      </c>
      <c r="S86" s="13" t="s">
        <v>95</v>
      </c>
      <c r="T86" s="13">
        <v>165</v>
      </c>
      <c r="U86" s="13">
        <v>5175</v>
      </c>
      <c r="V86" s="16">
        <f t="shared" ref="V86:V95" si="26">X86/U86</f>
        <v>2.50009661835749</v>
      </c>
      <c r="W86" s="87">
        <f t="shared" ref="W86:W95" si="27">X86-Y86</f>
        <v>12297</v>
      </c>
      <c r="X86" s="13">
        <v>12938</v>
      </c>
      <c r="Y86" s="13">
        <v>641</v>
      </c>
      <c r="Z86" s="13">
        <v>144</v>
      </c>
      <c r="AA86" s="13">
        <v>142.6</v>
      </c>
      <c r="AB86" s="13" t="s">
        <v>96</v>
      </c>
      <c r="AC86" s="13" t="s">
        <v>97</v>
      </c>
      <c r="AD86" s="13" t="s">
        <v>98</v>
      </c>
      <c r="AE86" s="13">
        <v>85</v>
      </c>
      <c r="AF86" s="13">
        <v>82.5</v>
      </c>
      <c r="AG86" s="13">
        <v>80</v>
      </c>
      <c r="AH86" s="13" t="s">
        <v>99</v>
      </c>
      <c r="AI86" s="13" t="s">
        <v>100</v>
      </c>
      <c r="AJ86" s="13" t="s">
        <v>101</v>
      </c>
      <c r="AK86" s="118" t="s">
        <v>102</v>
      </c>
      <c r="AL86" s="118" t="s">
        <v>113</v>
      </c>
      <c r="AM86" s="13" t="s">
        <v>100</v>
      </c>
      <c r="AN86" s="13" t="s">
        <v>101</v>
      </c>
      <c r="AO86" s="13" t="s">
        <v>102</v>
      </c>
      <c r="AP86" s="13">
        <v>197.2</v>
      </c>
      <c r="AQ86" s="13">
        <v>45.69</v>
      </c>
      <c r="AR86" s="13">
        <v>25.7</v>
      </c>
      <c r="AS86" s="16">
        <f t="shared" si="20"/>
        <v>11.74233</v>
      </c>
      <c r="AT86" s="13">
        <v>42.8</v>
      </c>
      <c r="AU86" s="13">
        <v>153</v>
      </c>
      <c r="AV86" s="13">
        <v>529.4</v>
      </c>
      <c r="AW86" s="13">
        <v>95.1</v>
      </c>
      <c r="AX86" s="16">
        <f t="shared" si="21"/>
        <v>503.4594</v>
      </c>
      <c r="AY86" s="16">
        <f t="shared" si="23"/>
        <v>71.79331044</v>
      </c>
      <c r="AZ86" s="31">
        <v>4</v>
      </c>
      <c r="BA86" s="13">
        <v>0.5</v>
      </c>
      <c r="BB86" s="13">
        <v>2470</v>
      </c>
      <c r="BC86" s="13">
        <v>35.22</v>
      </c>
      <c r="BD86" s="13">
        <v>17.5</v>
      </c>
      <c r="BE86" s="16">
        <f t="shared" si="22"/>
        <v>6.1635</v>
      </c>
      <c r="BF86" s="13">
        <v>42.4</v>
      </c>
      <c r="BG86" s="13">
        <v>98</v>
      </c>
      <c r="BH86" s="31">
        <v>24.1</v>
      </c>
      <c r="BI86" s="13">
        <v>87.4</v>
      </c>
      <c r="BJ86" s="31">
        <v>4150.6</v>
      </c>
      <c r="BK86" s="31">
        <v>591.8</v>
      </c>
      <c r="BL86" s="31">
        <v>11.2</v>
      </c>
      <c r="BM86" s="13">
        <v>568514</v>
      </c>
      <c r="BN86" s="31">
        <v>99.5</v>
      </c>
      <c r="BO86" s="13" t="s">
        <v>103</v>
      </c>
      <c r="BP86" s="16">
        <f t="shared" si="14"/>
        <v>12.297</v>
      </c>
      <c r="BQ86" s="16">
        <f t="shared" ref="BQ86:BQ94" si="28">(BK86/(BI86*BP86))*100</f>
        <v>55.0635687407898</v>
      </c>
      <c r="BR86" s="16">
        <f t="shared" si="24"/>
        <v>49.7199318847067</v>
      </c>
      <c r="BS86" s="102">
        <f t="shared" ref="BS86:BS104" si="29">(1-(BG86/AU86))*100</f>
        <v>35.9477124183007</v>
      </c>
      <c r="BT86" s="13" t="s">
        <v>102</v>
      </c>
      <c r="BU86" s="13" t="s">
        <v>105</v>
      </c>
      <c r="BV86" s="12">
        <v>45919</v>
      </c>
      <c r="BW86" s="13" t="s">
        <v>105</v>
      </c>
      <c r="BX86" s="31">
        <v>11.2</v>
      </c>
      <c r="BY86" s="13" t="s">
        <v>103</v>
      </c>
      <c r="BZ86" s="13" t="s">
        <v>103</v>
      </c>
      <c r="CA86" s="13" t="s">
        <v>103</v>
      </c>
    </row>
    <row r="87" spans="1:79">
      <c r="A87" s="12">
        <v>45918</v>
      </c>
      <c r="B87" s="13">
        <v>25109012</v>
      </c>
      <c r="C87" s="13"/>
      <c r="D87" s="13"/>
      <c r="E87" s="13">
        <v>1</v>
      </c>
      <c r="F87" s="13" t="s">
        <v>111</v>
      </c>
      <c r="G87" s="13">
        <v>46</v>
      </c>
      <c r="H87" s="13">
        <v>46</v>
      </c>
      <c r="I87" s="13" t="s">
        <v>92</v>
      </c>
      <c r="J87" s="13" t="s">
        <v>93</v>
      </c>
      <c r="K87" s="13" t="s">
        <v>94</v>
      </c>
      <c r="L87" s="13">
        <v>600</v>
      </c>
      <c r="M87" s="13">
        <v>4</v>
      </c>
      <c r="N87" s="13">
        <v>0.24</v>
      </c>
      <c r="O87" s="13">
        <v>59</v>
      </c>
      <c r="P87" s="31">
        <v>1.68</v>
      </c>
      <c r="Q87" s="16">
        <f t="shared" si="19"/>
        <v>20.9041950113379</v>
      </c>
      <c r="R87" s="13">
        <v>59</v>
      </c>
      <c r="S87" s="13" t="s">
        <v>95</v>
      </c>
      <c r="T87" s="13">
        <v>304</v>
      </c>
      <c r="U87" s="13">
        <v>3824</v>
      </c>
      <c r="V87" s="16">
        <f t="shared" si="26"/>
        <v>5</v>
      </c>
      <c r="W87" s="87">
        <f t="shared" si="27"/>
        <v>18178</v>
      </c>
      <c r="X87" s="13">
        <v>19120</v>
      </c>
      <c r="Y87" s="13">
        <v>942</v>
      </c>
      <c r="Z87" s="13">
        <v>294</v>
      </c>
      <c r="AA87" s="13">
        <v>291.1</v>
      </c>
      <c r="AB87" s="13" t="s">
        <v>96</v>
      </c>
      <c r="AC87" s="13" t="s">
        <v>108</v>
      </c>
      <c r="AD87" s="13" t="s">
        <v>98</v>
      </c>
      <c r="AE87" s="13">
        <v>80</v>
      </c>
      <c r="AF87" s="13">
        <v>67.5</v>
      </c>
      <c r="AG87" s="13">
        <v>70</v>
      </c>
      <c r="AH87" s="13" t="s">
        <v>142</v>
      </c>
      <c r="AI87" s="13" t="s">
        <v>110</v>
      </c>
      <c r="AJ87" s="13" t="s">
        <v>102</v>
      </c>
      <c r="AK87" s="11">
        <v>2.15</v>
      </c>
      <c r="AL87" s="118" t="s">
        <v>113</v>
      </c>
      <c r="AM87" s="13" t="s">
        <v>110</v>
      </c>
      <c r="AN87" s="13" t="s">
        <v>102</v>
      </c>
      <c r="AO87" s="11">
        <v>2.15</v>
      </c>
      <c r="AP87" s="118" t="s">
        <v>113</v>
      </c>
      <c r="AQ87" s="13">
        <v>62.14</v>
      </c>
      <c r="AR87" s="13">
        <v>22.8</v>
      </c>
      <c r="AS87" s="16">
        <f t="shared" si="20"/>
        <v>14.16792</v>
      </c>
      <c r="AT87" s="13">
        <v>44.3</v>
      </c>
      <c r="AU87" s="13">
        <v>182</v>
      </c>
      <c r="AV87" s="13">
        <v>422.4</v>
      </c>
      <c r="AW87" s="13">
        <v>87.1</v>
      </c>
      <c r="AX87" s="16">
        <f t="shared" si="21"/>
        <v>367.9104</v>
      </c>
      <c r="AY87" s="16">
        <f t="shared" si="23"/>
        <v>107.09871744</v>
      </c>
      <c r="AZ87" s="31">
        <v>1.4</v>
      </c>
      <c r="BA87" s="13">
        <v>0.16</v>
      </c>
      <c r="BB87" s="13">
        <v>2288</v>
      </c>
      <c r="BC87" s="13">
        <v>62.95</v>
      </c>
      <c r="BD87" s="13">
        <v>8.7</v>
      </c>
      <c r="BE87" s="16">
        <f t="shared" si="22"/>
        <v>5.47665</v>
      </c>
      <c r="BF87" s="13">
        <v>44.8</v>
      </c>
      <c r="BG87" s="13">
        <v>49</v>
      </c>
      <c r="BH87" s="31">
        <v>4</v>
      </c>
      <c r="BI87" s="13">
        <v>46.7</v>
      </c>
      <c r="BJ87" s="31">
        <v>2082.9</v>
      </c>
      <c r="BK87" s="31">
        <v>606.3</v>
      </c>
      <c r="BL87" s="31">
        <v>10.2</v>
      </c>
      <c r="BM87" s="13">
        <v>479328</v>
      </c>
      <c r="BN87" s="31">
        <v>99.4</v>
      </c>
      <c r="BO87" s="13" t="s">
        <v>103</v>
      </c>
      <c r="BP87" s="16">
        <f t="shared" si="14"/>
        <v>18.178</v>
      </c>
      <c r="BQ87" s="16">
        <f t="shared" si="28"/>
        <v>71.4207799483716</v>
      </c>
      <c r="BR87" s="16">
        <f t="shared" si="24"/>
        <v>41.5845565842335</v>
      </c>
      <c r="BS87" s="102">
        <f t="shared" si="29"/>
        <v>73.0769230769231</v>
      </c>
      <c r="BT87" s="13" t="s">
        <v>102</v>
      </c>
      <c r="BU87" s="13" t="s">
        <v>105</v>
      </c>
      <c r="BV87" s="12">
        <v>45919</v>
      </c>
      <c r="BW87" s="13" t="s">
        <v>105</v>
      </c>
      <c r="BX87" s="31">
        <v>10.2</v>
      </c>
      <c r="BY87" s="13" t="s">
        <v>103</v>
      </c>
      <c r="BZ87" s="13" t="s">
        <v>103</v>
      </c>
      <c r="CA87" s="13" t="s">
        <v>103</v>
      </c>
    </row>
    <row r="88" spans="1:79">
      <c r="A88" s="12">
        <v>45918</v>
      </c>
      <c r="B88" s="13">
        <v>25109013</v>
      </c>
      <c r="C88" s="13"/>
      <c r="D88" s="13"/>
      <c r="E88" s="13">
        <v>1</v>
      </c>
      <c r="F88" s="13" t="s">
        <v>91</v>
      </c>
      <c r="G88" s="13">
        <v>8</v>
      </c>
      <c r="H88" s="13">
        <v>12</v>
      </c>
      <c r="I88" s="13" t="s">
        <v>124</v>
      </c>
      <c r="J88" s="13" t="s">
        <v>159</v>
      </c>
      <c r="K88" s="13" t="s">
        <v>116</v>
      </c>
      <c r="L88" s="13">
        <v>300</v>
      </c>
      <c r="M88" s="13">
        <v>4</v>
      </c>
      <c r="N88" s="13" t="s">
        <v>103</v>
      </c>
      <c r="O88" s="13">
        <v>26</v>
      </c>
      <c r="P88" s="31">
        <v>1.16</v>
      </c>
      <c r="Q88" s="16">
        <f t="shared" si="19"/>
        <v>19.3222354340071</v>
      </c>
      <c r="R88" s="13">
        <v>33</v>
      </c>
      <c r="S88" s="13" t="s">
        <v>140</v>
      </c>
      <c r="T88" s="13">
        <v>191</v>
      </c>
      <c r="U88" s="13">
        <v>2014</v>
      </c>
      <c r="V88" s="16">
        <f t="shared" si="26"/>
        <v>4</v>
      </c>
      <c r="W88" s="87">
        <f t="shared" si="27"/>
        <v>7642</v>
      </c>
      <c r="X88" s="13">
        <v>8056</v>
      </c>
      <c r="Y88" s="13">
        <v>414</v>
      </c>
      <c r="Z88" s="13">
        <v>174</v>
      </c>
      <c r="AA88" s="13">
        <v>172.3</v>
      </c>
      <c r="AB88" s="13" t="s">
        <v>96</v>
      </c>
      <c r="AC88" s="13" t="s">
        <v>121</v>
      </c>
      <c r="AD88" s="13" t="s">
        <v>98</v>
      </c>
      <c r="AE88" s="13">
        <v>40</v>
      </c>
      <c r="AF88" s="13">
        <v>45</v>
      </c>
      <c r="AG88" s="13">
        <v>50</v>
      </c>
      <c r="AH88" s="13" t="s">
        <v>162</v>
      </c>
      <c r="AI88" s="13" t="s">
        <v>100</v>
      </c>
      <c r="AJ88" s="13" t="s">
        <v>101</v>
      </c>
      <c r="AK88" s="118" t="s">
        <v>102</v>
      </c>
      <c r="AL88" s="118">
        <v>121</v>
      </c>
      <c r="AM88" s="13" t="s">
        <v>100</v>
      </c>
      <c r="AN88" s="13" t="s">
        <v>101</v>
      </c>
      <c r="AO88" s="13" t="s">
        <v>102</v>
      </c>
      <c r="AP88" s="13">
        <v>193.6</v>
      </c>
      <c r="AQ88" s="13">
        <v>58.86</v>
      </c>
      <c r="AR88" s="13">
        <v>19.2</v>
      </c>
      <c r="AS88" s="16">
        <f t="shared" si="20"/>
        <v>11.30112</v>
      </c>
      <c r="AT88" s="13">
        <v>33.7</v>
      </c>
      <c r="AU88" s="13">
        <v>296</v>
      </c>
      <c r="AV88" s="13">
        <v>340.92</v>
      </c>
      <c r="AW88" s="13">
        <v>80</v>
      </c>
      <c r="AX88" s="16">
        <f t="shared" si="21"/>
        <v>272.736</v>
      </c>
      <c r="AY88" s="16">
        <f t="shared" si="23"/>
        <v>46.9924128</v>
      </c>
      <c r="AZ88" s="31">
        <v>3.1</v>
      </c>
      <c r="BA88" s="13">
        <v>0.2</v>
      </c>
      <c r="BB88" s="13">
        <v>1852</v>
      </c>
      <c r="BC88" s="13">
        <v>47.52</v>
      </c>
      <c r="BD88" s="13">
        <v>18.8</v>
      </c>
      <c r="BE88" s="16">
        <f t="shared" si="22"/>
        <v>8.93376</v>
      </c>
      <c r="BF88" s="13">
        <v>35.1</v>
      </c>
      <c r="BG88" s="13">
        <v>158</v>
      </c>
      <c r="BH88" s="31">
        <v>68.4</v>
      </c>
      <c r="BI88" s="13">
        <v>128.1</v>
      </c>
      <c r="BJ88" s="31">
        <v>2748.9</v>
      </c>
      <c r="BK88" s="31">
        <v>473.6</v>
      </c>
      <c r="BL88" s="31">
        <v>14.3</v>
      </c>
      <c r="BM88" s="13">
        <v>420494</v>
      </c>
      <c r="BN88" s="31">
        <v>99.1</v>
      </c>
      <c r="BO88" s="13" t="s">
        <v>103</v>
      </c>
      <c r="BP88" s="16">
        <f t="shared" si="14"/>
        <v>7.642</v>
      </c>
      <c r="BQ88" s="16">
        <f t="shared" si="28"/>
        <v>48.3788488816784</v>
      </c>
      <c r="BR88" s="16">
        <f t="shared" si="24"/>
        <v>54.4125681857411</v>
      </c>
      <c r="BS88" s="102">
        <f t="shared" si="29"/>
        <v>46.6216216216216</v>
      </c>
      <c r="BT88" s="13" t="s">
        <v>102</v>
      </c>
      <c r="BU88" s="13" t="s">
        <v>105</v>
      </c>
      <c r="BV88" s="12">
        <v>45920</v>
      </c>
      <c r="BW88" s="13" t="s">
        <v>105</v>
      </c>
      <c r="BX88" s="31">
        <v>14.3</v>
      </c>
      <c r="BY88" s="13" t="s">
        <v>163</v>
      </c>
      <c r="BZ88" s="13" t="s">
        <v>103</v>
      </c>
      <c r="CA88" s="13" t="s">
        <v>103</v>
      </c>
    </row>
    <row r="89" spans="1:79">
      <c r="A89" s="12">
        <v>45919</v>
      </c>
      <c r="B89" s="13">
        <v>25109014</v>
      </c>
      <c r="C89" s="13"/>
      <c r="D89" s="13"/>
      <c r="E89" s="13">
        <v>1</v>
      </c>
      <c r="F89" s="13" t="s">
        <v>91</v>
      </c>
      <c r="G89" s="13">
        <v>45</v>
      </c>
      <c r="H89" s="13">
        <v>38</v>
      </c>
      <c r="I89" s="13" t="s">
        <v>124</v>
      </c>
      <c r="J89" s="13" t="s">
        <v>164</v>
      </c>
      <c r="K89" s="13" t="s">
        <v>94</v>
      </c>
      <c r="L89" s="13">
        <v>900</v>
      </c>
      <c r="M89" s="13">
        <v>4</v>
      </c>
      <c r="N89" s="13" t="s">
        <v>103</v>
      </c>
      <c r="O89" s="13">
        <v>97.5</v>
      </c>
      <c r="P89" s="31">
        <v>1.65</v>
      </c>
      <c r="Q89" s="16">
        <f t="shared" si="19"/>
        <v>35.8126721763085</v>
      </c>
      <c r="R89" s="13">
        <v>72.5</v>
      </c>
      <c r="S89" s="13" t="s">
        <v>95</v>
      </c>
      <c r="T89" s="13">
        <v>187</v>
      </c>
      <c r="U89" s="13">
        <v>5406</v>
      </c>
      <c r="V89" s="16">
        <f t="shared" si="26"/>
        <v>2.00036995930448</v>
      </c>
      <c r="W89" s="87">
        <f t="shared" si="27"/>
        <v>10042</v>
      </c>
      <c r="X89" s="13">
        <v>10814</v>
      </c>
      <c r="Y89" s="13">
        <v>772</v>
      </c>
      <c r="Z89" s="13">
        <v>168</v>
      </c>
      <c r="AA89" s="13">
        <v>166.3</v>
      </c>
      <c r="AB89" s="13" t="s">
        <v>96</v>
      </c>
      <c r="AC89" s="13" t="s">
        <v>97</v>
      </c>
      <c r="AD89" s="13" t="s">
        <v>98</v>
      </c>
      <c r="AE89" s="13">
        <v>60</v>
      </c>
      <c r="AF89" s="13">
        <v>60</v>
      </c>
      <c r="AG89" s="13">
        <v>60</v>
      </c>
      <c r="AH89" s="13" t="s">
        <v>165</v>
      </c>
      <c r="AI89" s="13" t="s">
        <v>100</v>
      </c>
      <c r="AJ89" s="13" t="s">
        <v>101</v>
      </c>
      <c r="AK89" s="118" t="s">
        <v>102</v>
      </c>
      <c r="AL89" s="118" t="s">
        <v>102</v>
      </c>
      <c r="AM89" s="13" t="s">
        <v>100</v>
      </c>
      <c r="AN89" s="13" t="s">
        <v>101</v>
      </c>
      <c r="AO89" s="13" t="s">
        <v>102</v>
      </c>
      <c r="AP89" s="13" t="s">
        <v>102</v>
      </c>
      <c r="AQ89" s="13">
        <v>55.16</v>
      </c>
      <c r="AR89" s="13">
        <v>16.3</v>
      </c>
      <c r="AS89" s="16">
        <f t="shared" si="20"/>
        <v>8.99108</v>
      </c>
      <c r="AT89" s="13">
        <v>46.8</v>
      </c>
      <c r="AU89" s="13">
        <v>227</v>
      </c>
      <c r="AV89" s="13">
        <v>510.4</v>
      </c>
      <c r="AW89" s="13">
        <v>61.8</v>
      </c>
      <c r="AX89" s="16">
        <f t="shared" si="21"/>
        <v>315.4272</v>
      </c>
      <c r="AY89" s="16">
        <f t="shared" si="23"/>
        <v>52.45554336</v>
      </c>
      <c r="AZ89" s="31">
        <v>4</v>
      </c>
      <c r="BA89" s="13">
        <v>0.4</v>
      </c>
      <c r="BB89" s="13">
        <v>2540</v>
      </c>
      <c r="BC89" s="13">
        <v>41.56</v>
      </c>
      <c r="BD89" s="13">
        <v>15.2</v>
      </c>
      <c r="BE89" s="16">
        <f t="shared" si="22"/>
        <v>6.31712</v>
      </c>
      <c r="BF89" s="13">
        <v>47.1</v>
      </c>
      <c r="BG89" s="13">
        <v>158</v>
      </c>
      <c r="BH89" s="31">
        <v>75</v>
      </c>
      <c r="BI89" s="13">
        <v>130.4</v>
      </c>
      <c r="BJ89" s="31">
        <v>4452.6</v>
      </c>
      <c r="BK89" s="31">
        <v>740.4</v>
      </c>
      <c r="BL89" s="31">
        <v>10.2</v>
      </c>
      <c r="BM89" s="13">
        <v>502425</v>
      </c>
      <c r="BN89" s="31">
        <v>99.4</v>
      </c>
      <c r="BO89" s="13" t="s">
        <v>103</v>
      </c>
      <c r="BP89" s="16">
        <f t="shared" si="14"/>
        <v>10.042</v>
      </c>
      <c r="BQ89" s="16">
        <f t="shared" si="28"/>
        <v>56.5416661066466</v>
      </c>
      <c r="BR89" s="16">
        <f t="shared" si="24"/>
        <v>58.0977496847997</v>
      </c>
      <c r="BS89" s="102">
        <f t="shared" si="29"/>
        <v>30.3964757709251</v>
      </c>
      <c r="BT89" s="13" t="s">
        <v>102</v>
      </c>
      <c r="BU89" s="13" t="s">
        <v>105</v>
      </c>
      <c r="BV89" s="12">
        <v>45921</v>
      </c>
      <c r="BW89" s="13" t="s">
        <v>105</v>
      </c>
      <c r="BX89" s="31">
        <v>10.2</v>
      </c>
      <c r="BY89" s="13" t="s">
        <v>103</v>
      </c>
      <c r="BZ89" s="13" t="s">
        <v>103</v>
      </c>
      <c r="CA89" s="13" t="s">
        <v>103</v>
      </c>
    </row>
    <row r="90" spans="1:79">
      <c r="A90" s="12">
        <v>45919</v>
      </c>
      <c r="B90" s="13">
        <v>25109015</v>
      </c>
      <c r="C90" s="13"/>
      <c r="D90" s="13"/>
      <c r="E90" s="13">
        <v>1</v>
      </c>
      <c r="F90" s="13" t="s">
        <v>111</v>
      </c>
      <c r="G90" s="13">
        <v>31</v>
      </c>
      <c r="H90" s="13">
        <v>7</v>
      </c>
      <c r="I90" s="13" t="s">
        <v>124</v>
      </c>
      <c r="J90" s="13" t="s">
        <v>159</v>
      </c>
      <c r="K90" s="13" t="s">
        <v>94</v>
      </c>
      <c r="L90" s="13">
        <v>1000</v>
      </c>
      <c r="M90" s="13">
        <v>5</v>
      </c>
      <c r="N90" s="13" t="s">
        <v>103</v>
      </c>
      <c r="O90" s="13">
        <v>67.1</v>
      </c>
      <c r="P90" s="31">
        <v>1.5</v>
      </c>
      <c r="Q90" s="16">
        <f t="shared" si="19"/>
        <v>29.8222222222222</v>
      </c>
      <c r="R90" s="13">
        <v>21.6</v>
      </c>
      <c r="S90" s="13" t="s">
        <v>95</v>
      </c>
      <c r="T90" s="13">
        <v>194</v>
      </c>
      <c r="U90" s="13">
        <v>3601</v>
      </c>
      <c r="V90" s="16">
        <f t="shared" si="26"/>
        <v>4.00027770063871</v>
      </c>
      <c r="W90" s="87">
        <f t="shared" si="27"/>
        <v>13695</v>
      </c>
      <c r="X90" s="13">
        <v>14405</v>
      </c>
      <c r="Y90" s="13">
        <v>710</v>
      </c>
      <c r="Z90" s="13">
        <v>178</v>
      </c>
      <c r="AA90" s="13">
        <v>176.2</v>
      </c>
      <c r="AB90" s="13" t="s">
        <v>96</v>
      </c>
      <c r="AC90" s="13" t="s">
        <v>121</v>
      </c>
      <c r="AD90" s="13" t="s">
        <v>98</v>
      </c>
      <c r="AE90" s="13">
        <v>90</v>
      </c>
      <c r="AF90" s="13">
        <v>80</v>
      </c>
      <c r="AG90" s="13">
        <v>80</v>
      </c>
      <c r="AH90" s="13" t="s">
        <v>109</v>
      </c>
      <c r="AI90" s="13" t="s">
        <v>100</v>
      </c>
      <c r="AJ90" s="13" t="s">
        <v>101</v>
      </c>
      <c r="AK90" s="13" t="s">
        <v>102</v>
      </c>
      <c r="AL90" s="13">
        <v>250</v>
      </c>
      <c r="AM90" s="13" t="s">
        <v>100</v>
      </c>
      <c r="AN90" s="13" t="s">
        <v>101</v>
      </c>
      <c r="AO90" s="13" t="s">
        <v>166</v>
      </c>
      <c r="AP90" s="13" t="s">
        <v>166</v>
      </c>
      <c r="AQ90" s="13">
        <v>82.25</v>
      </c>
      <c r="AR90" s="13">
        <v>14.8</v>
      </c>
      <c r="AS90" s="16">
        <f t="shared" si="20"/>
        <v>12.173</v>
      </c>
      <c r="AT90" s="13">
        <v>37.8</v>
      </c>
      <c r="AU90" s="13">
        <v>268</v>
      </c>
      <c r="AV90" s="13">
        <v>528.8</v>
      </c>
      <c r="AW90" s="13">
        <v>95.3</v>
      </c>
      <c r="AX90" s="16">
        <f t="shared" si="21"/>
        <v>503.9464</v>
      </c>
      <c r="AY90" s="16">
        <f t="shared" si="23"/>
        <v>88.79535568</v>
      </c>
      <c r="AZ90" s="31">
        <v>4</v>
      </c>
      <c r="BA90" s="13">
        <v>0.6</v>
      </c>
      <c r="BB90" s="13">
        <v>3320</v>
      </c>
      <c r="BC90" s="13" t="s">
        <v>103</v>
      </c>
      <c r="BD90" s="13" t="s">
        <v>103</v>
      </c>
      <c r="BE90" s="16" t="e">
        <f t="shared" si="22"/>
        <v>#VALUE!</v>
      </c>
      <c r="BF90" s="13" t="s">
        <v>103</v>
      </c>
      <c r="BG90" s="13" t="s">
        <v>103</v>
      </c>
      <c r="BH90" s="31" t="s">
        <v>103</v>
      </c>
      <c r="BI90" s="13" t="s">
        <v>103</v>
      </c>
      <c r="BJ90" s="31">
        <v>4720.5</v>
      </c>
      <c r="BK90" s="31">
        <v>831.7</v>
      </c>
      <c r="BL90" s="31">
        <v>38.5</v>
      </c>
      <c r="BM90" s="13">
        <v>540380</v>
      </c>
      <c r="BN90" s="31">
        <v>99.3</v>
      </c>
      <c r="BO90" s="13" t="s">
        <v>103</v>
      </c>
      <c r="BP90" s="16">
        <f t="shared" si="14"/>
        <v>13.695</v>
      </c>
      <c r="BQ90" s="16" t="e">
        <f t="shared" si="28"/>
        <v>#VALUE!</v>
      </c>
      <c r="BR90" s="16">
        <f t="shared" si="24"/>
        <v>53.263609349536</v>
      </c>
      <c r="BS90" s="102" t="e">
        <f t="shared" si="29"/>
        <v>#VALUE!</v>
      </c>
      <c r="BT90" s="13" t="s">
        <v>103</v>
      </c>
      <c r="BU90" s="13" t="s">
        <v>167</v>
      </c>
      <c r="BV90" s="13" t="s">
        <v>166</v>
      </c>
      <c r="BW90" s="13" t="s">
        <v>167</v>
      </c>
      <c r="BX90" s="31" t="s">
        <v>166</v>
      </c>
      <c r="BY90" s="13" t="s">
        <v>168</v>
      </c>
      <c r="BZ90" s="13" t="s">
        <v>103</v>
      </c>
      <c r="CA90" s="13" t="s">
        <v>103</v>
      </c>
    </row>
    <row r="91" spans="1:79">
      <c r="A91" s="12">
        <v>45924</v>
      </c>
      <c r="B91" s="13">
        <v>25109016</v>
      </c>
      <c r="C91" s="13"/>
      <c r="D91" s="13"/>
      <c r="E91" s="13">
        <v>1</v>
      </c>
      <c r="F91" s="13" t="s">
        <v>91</v>
      </c>
      <c r="G91" s="13">
        <v>26</v>
      </c>
      <c r="H91" s="13">
        <v>18</v>
      </c>
      <c r="I91" s="13" t="s">
        <v>120</v>
      </c>
      <c r="J91" s="13" t="s">
        <v>125</v>
      </c>
      <c r="K91" s="13" t="s">
        <v>94</v>
      </c>
      <c r="L91" s="13">
        <v>600</v>
      </c>
      <c r="M91" s="13">
        <v>4</v>
      </c>
      <c r="N91" s="13" t="s">
        <v>103</v>
      </c>
      <c r="O91" s="13">
        <v>75</v>
      </c>
      <c r="P91" s="31">
        <v>1.7</v>
      </c>
      <c r="Q91" s="16">
        <f t="shared" si="19"/>
        <v>25.9515570934256</v>
      </c>
      <c r="R91" s="13">
        <v>54.5</v>
      </c>
      <c r="S91" s="13" t="s">
        <v>95</v>
      </c>
      <c r="T91" s="13">
        <v>246</v>
      </c>
      <c r="U91" s="13">
        <v>4821</v>
      </c>
      <c r="V91" s="16">
        <f t="shared" si="26"/>
        <v>2.50010371292263</v>
      </c>
      <c r="W91" s="87">
        <f t="shared" si="27"/>
        <v>11448</v>
      </c>
      <c r="X91" s="13">
        <v>12053</v>
      </c>
      <c r="Y91" s="13">
        <v>605</v>
      </c>
      <c r="Z91" s="13">
        <v>228</v>
      </c>
      <c r="AA91" s="13">
        <v>225.7</v>
      </c>
      <c r="AB91" s="13" t="s">
        <v>96</v>
      </c>
      <c r="AC91" s="13" t="s">
        <v>121</v>
      </c>
      <c r="AD91" s="13" t="s">
        <v>122</v>
      </c>
      <c r="AE91" s="13">
        <v>55</v>
      </c>
      <c r="AF91" s="13">
        <v>50</v>
      </c>
      <c r="AG91" s="13">
        <v>55</v>
      </c>
      <c r="AH91" s="13" t="s">
        <v>99</v>
      </c>
      <c r="AI91" s="13" t="s">
        <v>110</v>
      </c>
      <c r="AJ91" s="13" t="s">
        <v>101</v>
      </c>
      <c r="AK91" s="13" t="s">
        <v>102</v>
      </c>
      <c r="AL91" s="13">
        <v>42.4</v>
      </c>
      <c r="AM91" s="13" t="s">
        <v>100</v>
      </c>
      <c r="AN91" s="13" t="s">
        <v>101</v>
      </c>
      <c r="AO91" s="13" t="s">
        <v>102</v>
      </c>
      <c r="AP91" s="13">
        <v>200.8</v>
      </c>
      <c r="AQ91" s="13">
        <v>53.34</v>
      </c>
      <c r="AR91" s="13">
        <v>18.4</v>
      </c>
      <c r="AS91" s="16">
        <f t="shared" si="20"/>
        <v>9.81456</v>
      </c>
      <c r="AT91" s="13">
        <v>44.8</v>
      </c>
      <c r="AU91" s="13">
        <v>215</v>
      </c>
      <c r="AV91" s="13">
        <v>516.8</v>
      </c>
      <c r="AW91" s="13">
        <v>62.2</v>
      </c>
      <c r="AX91" s="16">
        <f t="shared" si="21"/>
        <v>321.4496</v>
      </c>
      <c r="AY91" s="16">
        <f t="shared" si="23"/>
        <v>72.55117472</v>
      </c>
      <c r="AZ91" s="31">
        <v>3</v>
      </c>
      <c r="BA91" s="13">
        <v>0.3</v>
      </c>
      <c r="BB91" s="13">
        <v>1760</v>
      </c>
      <c r="BC91" s="13">
        <v>48.88</v>
      </c>
      <c r="BD91" s="13">
        <v>13</v>
      </c>
      <c r="BE91" s="16">
        <f t="shared" si="22"/>
        <v>6.3544</v>
      </c>
      <c r="BF91" s="13">
        <v>46.2</v>
      </c>
      <c r="BG91" s="13">
        <v>127</v>
      </c>
      <c r="BH91" s="31">
        <v>67.2</v>
      </c>
      <c r="BI91" s="13">
        <v>106.9</v>
      </c>
      <c r="BJ91" s="31">
        <v>3193.7</v>
      </c>
      <c r="BK91" s="31">
        <v>720.78</v>
      </c>
      <c r="BL91" s="31">
        <v>13.2</v>
      </c>
      <c r="BM91" s="13">
        <v>523199</v>
      </c>
      <c r="BN91" s="31">
        <v>99.3</v>
      </c>
      <c r="BO91" s="13" t="s">
        <v>103</v>
      </c>
      <c r="BP91" s="16">
        <f t="shared" si="14"/>
        <v>11.448</v>
      </c>
      <c r="BQ91" s="16">
        <f t="shared" si="28"/>
        <v>58.8973020887877</v>
      </c>
      <c r="BR91" s="16">
        <f t="shared" si="24"/>
        <v>64.5719636540282</v>
      </c>
      <c r="BS91" s="102">
        <f t="shared" si="29"/>
        <v>40.9302325581395</v>
      </c>
      <c r="BT91" s="13" t="s">
        <v>102</v>
      </c>
      <c r="BU91" s="13" t="s">
        <v>105</v>
      </c>
      <c r="BV91" s="12">
        <v>45925</v>
      </c>
      <c r="BW91" s="13" t="s">
        <v>105</v>
      </c>
      <c r="BX91" s="31">
        <v>10</v>
      </c>
      <c r="BY91" s="13" t="s">
        <v>103</v>
      </c>
      <c r="BZ91" s="13" t="s">
        <v>103</v>
      </c>
      <c r="CA91" s="13" t="s">
        <v>103</v>
      </c>
    </row>
    <row r="92" spans="1:79">
      <c r="A92" s="12">
        <v>45939</v>
      </c>
      <c r="B92" s="13">
        <v>25110003</v>
      </c>
      <c r="C92" s="13"/>
      <c r="D92" s="13"/>
      <c r="E92" s="13">
        <v>1</v>
      </c>
      <c r="F92" s="13" t="s">
        <v>111</v>
      </c>
      <c r="G92" s="13">
        <v>19</v>
      </c>
      <c r="H92" s="13">
        <v>13</v>
      </c>
      <c r="I92" s="13" t="s">
        <v>124</v>
      </c>
      <c r="J92" s="13" t="s">
        <v>112</v>
      </c>
      <c r="K92" s="13" t="s">
        <v>160</v>
      </c>
      <c r="L92" s="13">
        <v>600</v>
      </c>
      <c r="M92" s="13">
        <v>4</v>
      </c>
      <c r="N92" s="13" t="s">
        <v>103</v>
      </c>
      <c r="O92" s="13">
        <v>82</v>
      </c>
      <c r="P92" s="31">
        <v>1.64</v>
      </c>
      <c r="Q92" s="16">
        <f t="shared" si="19"/>
        <v>30.4878048780488</v>
      </c>
      <c r="R92" s="13">
        <v>71</v>
      </c>
      <c r="S92" s="13" t="s">
        <v>95</v>
      </c>
      <c r="T92" s="13">
        <v>298</v>
      </c>
      <c r="U92" s="13">
        <v>4467</v>
      </c>
      <c r="V92" s="16">
        <f t="shared" si="26"/>
        <v>5.00022386389075</v>
      </c>
      <c r="W92" s="87">
        <f t="shared" si="27"/>
        <v>21240</v>
      </c>
      <c r="X92" s="13">
        <v>22336</v>
      </c>
      <c r="Y92" s="13">
        <v>1096</v>
      </c>
      <c r="Z92" s="13">
        <v>281</v>
      </c>
      <c r="AA92" s="13">
        <v>278.2</v>
      </c>
      <c r="AB92" s="13" t="s">
        <v>96</v>
      </c>
      <c r="AC92" s="13" t="s">
        <v>121</v>
      </c>
      <c r="AD92" s="13" t="s">
        <v>98</v>
      </c>
      <c r="AE92" s="13">
        <v>80</v>
      </c>
      <c r="AF92" s="13">
        <v>80</v>
      </c>
      <c r="AG92" s="13">
        <v>80</v>
      </c>
      <c r="AH92" s="13" t="s">
        <v>109</v>
      </c>
      <c r="AI92" s="13" t="s">
        <v>100</v>
      </c>
      <c r="AJ92" s="13" t="s">
        <v>101</v>
      </c>
      <c r="AK92" s="13" t="s">
        <v>102</v>
      </c>
      <c r="AL92" s="13">
        <v>73.7</v>
      </c>
      <c r="AM92" s="13" t="s">
        <v>100</v>
      </c>
      <c r="AN92" s="13" t="s">
        <v>101</v>
      </c>
      <c r="AO92" s="13" t="s">
        <v>102</v>
      </c>
      <c r="AP92" s="13">
        <v>146.5</v>
      </c>
      <c r="AQ92" s="13">
        <v>70.74</v>
      </c>
      <c r="AR92" s="13">
        <v>14.5</v>
      </c>
      <c r="AS92" s="16">
        <f t="shared" si="20"/>
        <v>10.2573</v>
      </c>
      <c r="AT92" s="13">
        <v>39.8</v>
      </c>
      <c r="AU92" s="13">
        <v>187</v>
      </c>
      <c r="AV92" s="13">
        <v>426.47</v>
      </c>
      <c r="AW92" s="13">
        <v>80.5</v>
      </c>
      <c r="AX92" s="16">
        <f t="shared" si="21"/>
        <v>343.30835</v>
      </c>
      <c r="AY92" s="16">
        <f t="shared" si="23"/>
        <v>95.50838297</v>
      </c>
      <c r="AZ92" s="31">
        <v>3</v>
      </c>
      <c r="BA92" s="13">
        <v>0.27</v>
      </c>
      <c r="BB92" s="13">
        <v>1738</v>
      </c>
      <c r="BC92" s="13">
        <v>48.71</v>
      </c>
      <c r="BD92" s="13">
        <v>9.6</v>
      </c>
      <c r="BE92" s="16">
        <f t="shared" si="22"/>
        <v>4.67616</v>
      </c>
      <c r="BF92" s="13">
        <v>38.3</v>
      </c>
      <c r="BG92" s="13">
        <v>80</v>
      </c>
      <c r="BH92" s="31">
        <v>42.3</v>
      </c>
      <c r="BI92" s="13">
        <v>66.1</v>
      </c>
      <c r="BJ92" s="31">
        <v>1947.3</v>
      </c>
      <c r="BK92" s="31">
        <v>541.7</v>
      </c>
      <c r="BL92" s="31">
        <v>7.6</v>
      </c>
      <c r="BM92" s="13">
        <v>504632</v>
      </c>
      <c r="BN92" s="31">
        <v>99.5</v>
      </c>
      <c r="BO92" s="13" t="s">
        <v>103</v>
      </c>
      <c r="BP92" s="16">
        <f t="shared" si="14"/>
        <v>21.24</v>
      </c>
      <c r="BQ92" s="16">
        <f t="shared" si="28"/>
        <v>38.5836104059648</v>
      </c>
      <c r="BR92" s="16">
        <f t="shared" si="24"/>
        <v>43.8383219764866</v>
      </c>
      <c r="BS92" s="102">
        <f t="shared" si="29"/>
        <v>57.2192513368984</v>
      </c>
      <c r="BT92" s="13" t="s">
        <v>102</v>
      </c>
      <c r="BU92" s="13" t="s">
        <v>105</v>
      </c>
      <c r="BV92" s="12">
        <v>45940</v>
      </c>
      <c r="BW92" s="13" t="s">
        <v>105</v>
      </c>
      <c r="BX92" s="31">
        <v>7.6</v>
      </c>
      <c r="BY92" s="13" t="s">
        <v>103</v>
      </c>
      <c r="BZ92" s="13" t="s">
        <v>103</v>
      </c>
      <c r="CA92" s="13" t="s">
        <v>103</v>
      </c>
    </row>
    <row r="93" spans="1:79">
      <c r="A93" s="12">
        <v>45940</v>
      </c>
      <c r="B93" s="13">
        <v>25110004</v>
      </c>
      <c r="C93" s="13"/>
      <c r="D93" s="13"/>
      <c r="E93" s="13">
        <v>1</v>
      </c>
      <c r="F93" s="13" t="s">
        <v>91</v>
      </c>
      <c r="G93" s="13">
        <v>62</v>
      </c>
      <c r="H93" s="13">
        <v>62</v>
      </c>
      <c r="I93" s="13" t="s">
        <v>92</v>
      </c>
      <c r="J93" s="13" t="s">
        <v>117</v>
      </c>
      <c r="K93" s="13" t="s">
        <v>118</v>
      </c>
      <c r="L93" s="13">
        <v>900</v>
      </c>
      <c r="M93" s="13">
        <v>7</v>
      </c>
      <c r="N93" s="13" t="s">
        <v>103</v>
      </c>
      <c r="O93" s="13">
        <v>100</v>
      </c>
      <c r="P93" s="31">
        <v>1.69</v>
      </c>
      <c r="Q93" s="16">
        <f t="shared" si="19"/>
        <v>35.0127796645776</v>
      </c>
      <c r="R93" s="13">
        <v>62</v>
      </c>
      <c r="S93" s="13" t="s">
        <v>95</v>
      </c>
      <c r="T93" s="13">
        <v>192</v>
      </c>
      <c r="U93" s="13">
        <v>5594</v>
      </c>
      <c r="V93" s="16">
        <f t="shared" si="26"/>
        <v>2.60010725777619</v>
      </c>
      <c r="W93" s="87">
        <f t="shared" si="27"/>
        <v>13787</v>
      </c>
      <c r="X93" s="13">
        <v>14545</v>
      </c>
      <c r="Y93" s="13">
        <v>758</v>
      </c>
      <c r="Z93" s="13">
        <v>185</v>
      </c>
      <c r="AA93" s="13">
        <v>184.1</v>
      </c>
      <c r="AB93" s="13" t="s">
        <v>96</v>
      </c>
      <c r="AC93" s="13" t="s">
        <v>97</v>
      </c>
      <c r="AD93" s="13" t="s">
        <v>98</v>
      </c>
      <c r="AE93" s="13">
        <v>80</v>
      </c>
      <c r="AF93" s="13">
        <v>80</v>
      </c>
      <c r="AG93" s="13">
        <v>80</v>
      </c>
      <c r="AH93" s="13" t="s">
        <v>99</v>
      </c>
      <c r="AI93" s="13" t="s">
        <v>100</v>
      </c>
      <c r="AJ93" s="13" t="s">
        <v>102</v>
      </c>
      <c r="AK93" s="13" t="s">
        <v>102</v>
      </c>
      <c r="AL93" s="13" t="s">
        <v>102</v>
      </c>
      <c r="AM93" s="13" t="s">
        <v>100</v>
      </c>
      <c r="AN93" s="13" t="s">
        <v>102</v>
      </c>
      <c r="AO93" s="13" t="s">
        <v>102</v>
      </c>
      <c r="AP93" s="13" t="s">
        <v>102</v>
      </c>
      <c r="AQ93" s="13">
        <v>3.62</v>
      </c>
      <c r="AR93" s="13">
        <v>37.3</v>
      </c>
      <c r="AS93" s="16">
        <f t="shared" si="20"/>
        <v>1.35026</v>
      </c>
      <c r="AT93" s="13">
        <v>41.2</v>
      </c>
      <c r="AU93" s="13">
        <v>179</v>
      </c>
      <c r="AV93" s="13">
        <v>141.79</v>
      </c>
      <c r="AW93" s="13">
        <v>65</v>
      </c>
      <c r="AX93" s="16">
        <f t="shared" si="21"/>
        <v>92.1635</v>
      </c>
      <c r="AY93" s="16">
        <f t="shared" si="23"/>
        <v>16.96730035</v>
      </c>
      <c r="AZ93" s="31">
        <v>2.7</v>
      </c>
      <c r="BA93" s="13">
        <v>0.19</v>
      </c>
      <c r="BB93" s="13">
        <v>1904</v>
      </c>
      <c r="BC93" s="13">
        <v>6.46</v>
      </c>
      <c r="BD93" s="13">
        <v>25.9</v>
      </c>
      <c r="BE93" s="16">
        <f t="shared" si="22"/>
        <v>1.67314</v>
      </c>
      <c r="BF93" s="13">
        <v>38.7</v>
      </c>
      <c r="BG93" s="13">
        <v>133</v>
      </c>
      <c r="BH93" s="31" t="s">
        <v>103</v>
      </c>
      <c r="BI93" s="13">
        <v>83.5</v>
      </c>
      <c r="BJ93" s="31">
        <v>5192.5</v>
      </c>
      <c r="BK93" s="31">
        <v>955.9</v>
      </c>
      <c r="BL93" s="31">
        <v>9.5</v>
      </c>
      <c r="BM93" s="13">
        <v>154838</v>
      </c>
      <c r="BN93" s="31">
        <v>98.9</v>
      </c>
      <c r="BO93" s="13" t="s">
        <v>103</v>
      </c>
      <c r="BP93" s="16">
        <f t="shared" si="14"/>
        <v>13.787</v>
      </c>
      <c r="BQ93" s="16">
        <f t="shared" si="28"/>
        <v>83.0340479554418</v>
      </c>
      <c r="BR93" s="16">
        <f t="shared" si="24"/>
        <v>91.143472261119</v>
      </c>
      <c r="BS93" s="102">
        <f t="shared" si="29"/>
        <v>25.6983240223464</v>
      </c>
      <c r="BT93" s="13" t="s">
        <v>102</v>
      </c>
      <c r="BU93" s="13" t="s">
        <v>119</v>
      </c>
      <c r="BV93" s="12">
        <v>45943</v>
      </c>
      <c r="BW93" s="13" t="s">
        <v>119</v>
      </c>
      <c r="BX93" s="31">
        <v>9.5</v>
      </c>
      <c r="BY93" s="13" t="s">
        <v>103</v>
      </c>
      <c r="BZ93" s="13" t="s">
        <v>103</v>
      </c>
      <c r="CA93" s="13" t="s">
        <v>103</v>
      </c>
    </row>
    <row r="94" spans="1:79">
      <c r="A94" s="12">
        <v>45940</v>
      </c>
      <c r="B94" s="13">
        <v>25110005</v>
      </c>
      <c r="C94" s="13"/>
      <c r="D94" s="13"/>
      <c r="E94" s="13">
        <v>1</v>
      </c>
      <c r="F94" s="13" t="s">
        <v>91</v>
      </c>
      <c r="G94" s="13">
        <v>40</v>
      </c>
      <c r="H94" s="13">
        <v>40</v>
      </c>
      <c r="I94" s="13" t="s">
        <v>92</v>
      </c>
      <c r="J94" s="13" t="s">
        <v>169</v>
      </c>
      <c r="K94" s="13" t="s">
        <v>118</v>
      </c>
      <c r="L94" s="13">
        <v>900</v>
      </c>
      <c r="M94" s="13">
        <v>7</v>
      </c>
      <c r="N94" s="13" t="s">
        <v>103</v>
      </c>
      <c r="O94" s="13">
        <v>81.8</v>
      </c>
      <c r="P94" s="31">
        <v>1.78</v>
      </c>
      <c r="Q94" s="16">
        <f t="shared" si="19"/>
        <v>25.8174472920086</v>
      </c>
      <c r="R94" s="13">
        <v>81.8</v>
      </c>
      <c r="S94" s="13" t="s">
        <v>95</v>
      </c>
      <c r="T94" s="13">
        <v>199</v>
      </c>
      <c r="U94" s="13">
        <v>5313</v>
      </c>
      <c r="V94" s="16">
        <f t="shared" si="26"/>
        <v>2.83154526632787</v>
      </c>
      <c r="W94" s="87">
        <f t="shared" si="27"/>
        <v>14287</v>
      </c>
      <c r="X94" s="13">
        <v>15044</v>
      </c>
      <c r="Y94" s="13">
        <v>757</v>
      </c>
      <c r="Z94" s="13">
        <v>180</v>
      </c>
      <c r="AA94" s="13">
        <v>178.2</v>
      </c>
      <c r="AB94" s="13" t="s">
        <v>96</v>
      </c>
      <c r="AC94" s="13" t="s">
        <v>108</v>
      </c>
      <c r="AD94" s="13" t="s">
        <v>98</v>
      </c>
      <c r="AE94" s="13">
        <v>80</v>
      </c>
      <c r="AF94" s="13">
        <v>80</v>
      </c>
      <c r="AG94" s="13">
        <v>80</v>
      </c>
      <c r="AH94" s="13" t="s">
        <v>99</v>
      </c>
      <c r="AI94" s="13" t="s">
        <v>100</v>
      </c>
      <c r="AJ94" s="13" t="s">
        <v>101</v>
      </c>
      <c r="AK94" s="13" t="s">
        <v>102</v>
      </c>
      <c r="AL94" s="13" t="s">
        <v>113</v>
      </c>
      <c r="AM94" s="13" t="s">
        <v>100</v>
      </c>
      <c r="AN94" s="13" t="s">
        <v>101</v>
      </c>
      <c r="AO94" s="13" t="s">
        <v>102</v>
      </c>
      <c r="AP94" s="13" t="s">
        <v>113</v>
      </c>
      <c r="AQ94" s="13">
        <v>2.71</v>
      </c>
      <c r="AR94" s="13">
        <v>28.4</v>
      </c>
      <c r="AS94" s="16">
        <f t="shared" si="20"/>
        <v>0.76964</v>
      </c>
      <c r="AT94" s="13">
        <v>38.6</v>
      </c>
      <c r="AU94" s="13">
        <v>116</v>
      </c>
      <c r="AV94" s="13">
        <v>154.1</v>
      </c>
      <c r="AW94" s="13">
        <v>51.8</v>
      </c>
      <c r="AX94" s="16">
        <f t="shared" si="21"/>
        <v>79.8238</v>
      </c>
      <c r="AY94" s="16">
        <f t="shared" si="23"/>
        <v>14.22460116</v>
      </c>
      <c r="AZ94" s="31">
        <v>1.6</v>
      </c>
      <c r="BA94" s="13">
        <v>0.12</v>
      </c>
      <c r="BB94" s="13">
        <v>1868</v>
      </c>
      <c r="BC94" s="13">
        <v>7.22</v>
      </c>
      <c r="BD94" s="13">
        <v>25.6</v>
      </c>
      <c r="BE94" s="16">
        <f t="shared" si="22"/>
        <v>1.84832</v>
      </c>
      <c r="BF94" s="13">
        <v>37.3</v>
      </c>
      <c r="BG94" s="13">
        <v>109</v>
      </c>
      <c r="BH94" s="31" t="s">
        <v>103</v>
      </c>
      <c r="BI94" s="13">
        <v>82</v>
      </c>
      <c r="BJ94" s="31">
        <v>5989.5</v>
      </c>
      <c r="BK94" s="31">
        <v>1067.3</v>
      </c>
      <c r="BL94" s="31">
        <v>13</v>
      </c>
      <c r="BM94" s="13">
        <v>179717</v>
      </c>
      <c r="BN94" s="31">
        <v>99</v>
      </c>
      <c r="BO94" s="13" t="s">
        <v>103</v>
      </c>
      <c r="BP94" s="16">
        <f t="shared" si="14"/>
        <v>14.287</v>
      </c>
      <c r="BQ94" s="16">
        <f t="shared" si="28"/>
        <v>91.1027763598837</v>
      </c>
      <c r="BR94" s="16">
        <f t="shared" si="24"/>
        <v>129.363400327077</v>
      </c>
      <c r="BS94" s="102">
        <f t="shared" si="29"/>
        <v>6.03448275862069</v>
      </c>
      <c r="BT94" s="13" t="s">
        <v>102</v>
      </c>
      <c r="BU94" s="13" t="s">
        <v>119</v>
      </c>
      <c r="BV94" s="12">
        <v>45943</v>
      </c>
      <c r="BW94" s="13" t="s">
        <v>119</v>
      </c>
      <c r="BX94" s="31">
        <v>13</v>
      </c>
      <c r="BY94" s="13" t="s">
        <v>103</v>
      </c>
      <c r="BZ94" s="13" t="s">
        <v>103</v>
      </c>
      <c r="CA94" s="13" t="s">
        <v>103</v>
      </c>
    </row>
    <row r="95" spans="1:79">
      <c r="A95" s="12">
        <v>45940</v>
      </c>
      <c r="B95" s="13">
        <v>25110006</v>
      </c>
      <c r="C95" s="13"/>
      <c r="D95" s="13"/>
      <c r="E95" s="13">
        <v>1</v>
      </c>
      <c r="F95" s="13" t="s">
        <v>111</v>
      </c>
      <c r="G95" s="13">
        <v>49</v>
      </c>
      <c r="H95" s="13">
        <v>25</v>
      </c>
      <c r="I95" s="13" t="s">
        <v>124</v>
      </c>
      <c r="J95" s="13" t="s">
        <v>112</v>
      </c>
      <c r="K95" s="13" t="s">
        <v>132</v>
      </c>
      <c r="L95" s="13">
        <v>600</v>
      </c>
      <c r="M95" s="13">
        <v>4</v>
      </c>
      <c r="N95" s="13" t="s">
        <v>103</v>
      </c>
      <c r="O95" s="13">
        <v>55</v>
      </c>
      <c r="P95" s="31">
        <v>1.55</v>
      </c>
      <c r="Q95" s="16">
        <f t="shared" si="19"/>
        <v>22.8928199791883</v>
      </c>
      <c r="R95" s="13">
        <v>59</v>
      </c>
      <c r="S95" s="13" t="s">
        <v>95</v>
      </c>
      <c r="T95" s="13">
        <v>222</v>
      </c>
      <c r="U95" s="13">
        <v>3329</v>
      </c>
      <c r="V95" s="16">
        <f t="shared" si="26"/>
        <v>3.50015019525383</v>
      </c>
      <c r="W95" s="87">
        <f t="shared" si="27"/>
        <v>11071</v>
      </c>
      <c r="X95" s="13">
        <v>11652</v>
      </c>
      <c r="Y95" s="13">
        <v>581</v>
      </c>
      <c r="Z95" s="13">
        <v>203</v>
      </c>
      <c r="AA95" s="13">
        <v>201.96</v>
      </c>
      <c r="AB95" s="13" t="s">
        <v>96</v>
      </c>
      <c r="AC95" s="13" t="s">
        <v>121</v>
      </c>
      <c r="AD95" s="13" t="s">
        <v>122</v>
      </c>
      <c r="AE95" s="13">
        <v>50</v>
      </c>
      <c r="AF95" s="13">
        <v>56</v>
      </c>
      <c r="AG95" s="13">
        <v>62</v>
      </c>
      <c r="AH95" s="13" t="s">
        <v>170</v>
      </c>
      <c r="AI95" s="13" t="s">
        <v>100</v>
      </c>
      <c r="AJ95" s="13" t="s">
        <v>101</v>
      </c>
      <c r="AK95" s="13" t="s">
        <v>102</v>
      </c>
      <c r="AL95" s="13">
        <v>126.4</v>
      </c>
      <c r="AM95" s="13" t="s">
        <v>110</v>
      </c>
      <c r="AN95" s="13" t="s">
        <v>102</v>
      </c>
      <c r="AO95" s="13" t="s">
        <v>102</v>
      </c>
      <c r="AP95" s="13">
        <v>95.3</v>
      </c>
      <c r="AQ95" s="13">
        <v>84.85</v>
      </c>
      <c r="AR95" s="13">
        <v>15.8</v>
      </c>
      <c r="AS95" s="16">
        <f t="shared" si="20"/>
        <v>13.4063</v>
      </c>
      <c r="AT95" s="13">
        <v>41</v>
      </c>
      <c r="AU95" s="13">
        <v>254</v>
      </c>
      <c r="AV95" s="13">
        <v>315.85</v>
      </c>
      <c r="AW95" s="13">
        <v>72.7</v>
      </c>
      <c r="AX95" s="16">
        <f t="shared" si="21"/>
        <v>229.62295</v>
      </c>
      <c r="AY95" s="16">
        <f t="shared" si="23"/>
        <v>46.374650982</v>
      </c>
      <c r="AZ95" s="31">
        <v>2.2</v>
      </c>
      <c r="BA95" s="13">
        <v>0.27</v>
      </c>
      <c r="BB95" s="13">
        <v>1748</v>
      </c>
      <c r="BC95" s="13">
        <v>57.11</v>
      </c>
      <c r="BD95" s="13">
        <v>8.9</v>
      </c>
      <c r="BE95" s="16">
        <f t="shared" si="22"/>
        <v>5.08279</v>
      </c>
      <c r="BF95" s="13">
        <v>37.3</v>
      </c>
      <c r="BG95" s="13">
        <v>131</v>
      </c>
      <c r="BH95" s="31" t="s">
        <v>103</v>
      </c>
      <c r="BI95" s="13">
        <v>162.6</v>
      </c>
      <c r="BJ95" s="31">
        <v>3813</v>
      </c>
      <c r="BK95" s="31">
        <v>770</v>
      </c>
      <c r="BL95" s="31">
        <v>13</v>
      </c>
      <c r="BM95" s="13">
        <v>405580</v>
      </c>
      <c r="BN95" s="31">
        <v>99.2</v>
      </c>
      <c r="BO95" s="13" t="s">
        <v>103</v>
      </c>
      <c r="BP95" s="16">
        <f t="shared" si="14"/>
        <v>11.071</v>
      </c>
      <c r="BQ95" s="16">
        <f t="shared" si="15"/>
        <v>42.7743415723381</v>
      </c>
      <c r="BR95" s="16">
        <f t="shared" si="24"/>
        <v>31.2453122925024</v>
      </c>
      <c r="BS95" s="102">
        <f t="shared" si="29"/>
        <v>48.4251968503937</v>
      </c>
      <c r="BT95" s="13" t="s">
        <v>102</v>
      </c>
      <c r="BU95" s="13" t="s">
        <v>139</v>
      </c>
      <c r="BV95" s="12">
        <v>45941</v>
      </c>
      <c r="BW95" s="13" t="s">
        <v>139</v>
      </c>
      <c r="BX95" s="31">
        <v>13</v>
      </c>
      <c r="BY95" s="13" t="s">
        <v>103</v>
      </c>
      <c r="BZ95" s="13" t="s">
        <v>103</v>
      </c>
      <c r="CA95" s="13" t="s">
        <v>103</v>
      </c>
    </row>
    <row r="96" spans="1:79">
      <c r="A96" s="12">
        <v>45941</v>
      </c>
      <c r="B96" s="13">
        <v>25110007</v>
      </c>
      <c r="C96" s="13"/>
      <c r="D96" s="13"/>
      <c r="E96" s="13">
        <v>1</v>
      </c>
      <c r="F96" s="13" t="s">
        <v>91</v>
      </c>
      <c r="G96" s="13">
        <v>48</v>
      </c>
      <c r="H96" s="13">
        <v>48</v>
      </c>
      <c r="I96" s="13" t="s">
        <v>92</v>
      </c>
      <c r="J96" s="13" t="s">
        <v>117</v>
      </c>
      <c r="K96" s="13" t="s">
        <v>118</v>
      </c>
      <c r="L96" s="13">
        <v>900</v>
      </c>
      <c r="M96" s="13">
        <v>7</v>
      </c>
      <c r="N96" s="13" t="s">
        <v>103</v>
      </c>
      <c r="O96" s="13">
        <v>101</v>
      </c>
      <c r="P96" s="31">
        <v>1.77</v>
      </c>
      <c r="Q96" s="16">
        <f t="shared" si="19"/>
        <v>32.2385010692968</v>
      </c>
      <c r="R96" s="13">
        <v>101</v>
      </c>
      <c r="S96" s="13" t="s">
        <v>95</v>
      </c>
      <c r="T96" s="13">
        <v>153</v>
      </c>
      <c r="U96" s="13">
        <v>5890</v>
      </c>
      <c r="V96" s="16">
        <f t="shared" si="17"/>
        <v>1.50016977928693</v>
      </c>
      <c r="W96" s="87">
        <f t="shared" si="18"/>
        <v>8393</v>
      </c>
      <c r="X96" s="13">
        <v>8836</v>
      </c>
      <c r="Y96" s="13">
        <v>443</v>
      </c>
      <c r="Z96" s="13">
        <v>139</v>
      </c>
      <c r="AA96" s="13">
        <v>137.6</v>
      </c>
      <c r="AB96" s="13" t="s">
        <v>96</v>
      </c>
      <c r="AC96" s="13" t="s">
        <v>121</v>
      </c>
      <c r="AD96" s="13" t="s">
        <v>122</v>
      </c>
      <c r="AE96" s="13">
        <v>55</v>
      </c>
      <c r="AF96" s="13">
        <v>62.5</v>
      </c>
      <c r="AG96" s="13">
        <v>70</v>
      </c>
      <c r="AH96" s="13" t="s">
        <v>99</v>
      </c>
      <c r="AI96" s="13" t="s">
        <v>100</v>
      </c>
      <c r="AJ96" s="13" t="s">
        <v>101</v>
      </c>
      <c r="AK96" s="13" t="s">
        <v>102</v>
      </c>
      <c r="AL96" s="13" t="s">
        <v>102</v>
      </c>
      <c r="AM96" s="13" t="s">
        <v>100</v>
      </c>
      <c r="AN96" s="13" t="s">
        <v>101</v>
      </c>
      <c r="AO96" s="13" t="s">
        <v>102</v>
      </c>
      <c r="AP96" s="13" t="s">
        <v>102</v>
      </c>
      <c r="AQ96" s="13">
        <v>5.2</v>
      </c>
      <c r="AR96" s="13">
        <v>23.5</v>
      </c>
      <c r="AS96" s="16">
        <f t="shared" si="20"/>
        <v>1.222</v>
      </c>
      <c r="AT96" s="13">
        <v>43.7</v>
      </c>
      <c r="AU96" s="13">
        <v>115</v>
      </c>
      <c r="AV96" s="13">
        <v>239.07</v>
      </c>
      <c r="AW96" s="13">
        <v>28.9</v>
      </c>
      <c r="AX96" s="16">
        <f t="shared" si="21"/>
        <v>69.09123</v>
      </c>
      <c r="AY96" s="16">
        <f t="shared" si="23"/>
        <v>9.506953248</v>
      </c>
      <c r="AZ96" s="31">
        <v>1.4</v>
      </c>
      <c r="BA96" s="13">
        <v>0.12</v>
      </c>
      <c r="BB96" s="13">
        <v>1551</v>
      </c>
      <c r="BC96" s="13">
        <v>7.5</v>
      </c>
      <c r="BD96" s="13">
        <v>24.5</v>
      </c>
      <c r="BE96" s="16">
        <f t="shared" si="22"/>
        <v>1.8375</v>
      </c>
      <c r="BF96" s="13">
        <v>42.7</v>
      </c>
      <c r="BG96" s="13">
        <v>103</v>
      </c>
      <c r="BH96" s="31" t="s">
        <v>103</v>
      </c>
      <c r="BI96" s="13">
        <v>116.9</v>
      </c>
      <c r="BJ96" s="31">
        <v>6684</v>
      </c>
      <c r="BK96" s="31">
        <v>919.7</v>
      </c>
      <c r="BL96" s="31">
        <v>9.1</v>
      </c>
      <c r="BM96" s="13">
        <v>285453</v>
      </c>
      <c r="BN96" s="31">
        <v>98.9</v>
      </c>
      <c r="BO96" s="13" t="s">
        <v>103</v>
      </c>
      <c r="BP96" s="16">
        <f t="shared" si="14"/>
        <v>8.393</v>
      </c>
      <c r="BQ96" s="16">
        <f t="shared" si="15"/>
        <v>93.7377343150332</v>
      </c>
      <c r="BR96" s="16">
        <f t="shared" si="24"/>
        <v>92.6942786668728</v>
      </c>
      <c r="BS96" s="102">
        <f t="shared" si="29"/>
        <v>10.4347826086956</v>
      </c>
      <c r="BT96" s="13" t="s">
        <v>102</v>
      </c>
      <c r="BU96" s="13" t="s">
        <v>119</v>
      </c>
      <c r="BV96" s="12">
        <v>45944</v>
      </c>
      <c r="BW96" s="13" t="s">
        <v>119</v>
      </c>
      <c r="BX96" s="31">
        <v>9.1</v>
      </c>
      <c r="BY96" s="13" t="s">
        <v>103</v>
      </c>
      <c r="BZ96" s="13" t="s">
        <v>103</v>
      </c>
      <c r="CA96" s="13" t="s">
        <v>103</v>
      </c>
    </row>
    <row r="97" spans="1:79">
      <c r="A97" s="12">
        <v>45941</v>
      </c>
      <c r="B97" s="13">
        <v>25110008</v>
      </c>
      <c r="C97" s="13"/>
      <c r="D97" s="13"/>
      <c r="E97" s="13">
        <v>1</v>
      </c>
      <c r="F97" s="13" t="s">
        <v>111</v>
      </c>
      <c r="G97" s="13">
        <v>44</v>
      </c>
      <c r="H97" s="13">
        <v>44</v>
      </c>
      <c r="I97" s="13" t="s">
        <v>92</v>
      </c>
      <c r="J97" s="13" t="s">
        <v>117</v>
      </c>
      <c r="K97" s="13" t="s">
        <v>118</v>
      </c>
      <c r="L97" s="13">
        <v>600</v>
      </c>
      <c r="M97" s="13">
        <v>7</v>
      </c>
      <c r="N97" s="13" t="s">
        <v>103</v>
      </c>
      <c r="O97" s="13">
        <v>47.5</v>
      </c>
      <c r="P97" s="31">
        <v>1.6</v>
      </c>
      <c r="Q97" s="16">
        <f t="shared" si="19"/>
        <v>18.5546875</v>
      </c>
      <c r="R97" s="13">
        <v>47.5</v>
      </c>
      <c r="S97" s="13" t="s">
        <v>95</v>
      </c>
      <c r="T97" s="13">
        <v>153</v>
      </c>
      <c r="U97" s="13">
        <v>3220</v>
      </c>
      <c r="V97" s="16">
        <f t="shared" ref="V97:V104" si="30">X97/U97</f>
        <v>3.10993788819876</v>
      </c>
      <c r="W97" s="87">
        <f t="shared" si="18"/>
        <v>9513</v>
      </c>
      <c r="X97" s="13">
        <v>10014</v>
      </c>
      <c r="Y97" s="13">
        <v>501</v>
      </c>
      <c r="Z97" s="13">
        <v>119</v>
      </c>
      <c r="AA97" s="13">
        <v>117.8</v>
      </c>
      <c r="AB97" s="13" t="s">
        <v>96</v>
      </c>
      <c r="AC97" s="13" t="s">
        <v>97</v>
      </c>
      <c r="AD97" s="13" t="s">
        <v>98</v>
      </c>
      <c r="AE97" s="13">
        <v>80</v>
      </c>
      <c r="AF97" s="13">
        <v>72.5</v>
      </c>
      <c r="AG97" s="13">
        <v>65</v>
      </c>
      <c r="AH97" s="13" t="s">
        <v>109</v>
      </c>
      <c r="AI97" s="13" t="s">
        <v>110</v>
      </c>
      <c r="AJ97" s="13" t="s">
        <v>101</v>
      </c>
      <c r="AK97" s="13" t="s">
        <v>102</v>
      </c>
      <c r="AL97" s="13" t="s">
        <v>102</v>
      </c>
      <c r="AM97" s="13" t="s">
        <v>110</v>
      </c>
      <c r="AN97" s="13" t="s">
        <v>101</v>
      </c>
      <c r="AO97" s="13" t="s">
        <v>102</v>
      </c>
      <c r="AP97" s="13" t="s">
        <v>102</v>
      </c>
      <c r="AQ97" s="13">
        <v>1.72</v>
      </c>
      <c r="AR97" s="13">
        <v>37.2</v>
      </c>
      <c r="AS97" s="16">
        <f t="shared" si="20"/>
        <v>0.63984</v>
      </c>
      <c r="AT97" s="13">
        <v>40.8</v>
      </c>
      <c r="AU97" s="13">
        <v>66</v>
      </c>
      <c r="AV97" s="13">
        <v>103.69</v>
      </c>
      <c r="AW97" s="13">
        <v>37.8</v>
      </c>
      <c r="AX97" s="16">
        <f t="shared" si="21"/>
        <v>39.19482</v>
      </c>
      <c r="AY97" s="16">
        <f t="shared" si="23"/>
        <v>4.617149796</v>
      </c>
      <c r="AZ97" s="31">
        <v>1.9</v>
      </c>
      <c r="BA97" s="13">
        <v>0.19</v>
      </c>
      <c r="BB97" s="13">
        <v>743</v>
      </c>
      <c r="BC97" s="13">
        <v>2.68</v>
      </c>
      <c r="BD97" s="13">
        <v>32.8</v>
      </c>
      <c r="BE97" s="16">
        <f t="shared" si="22"/>
        <v>0.87904</v>
      </c>
      <c r="BF97" s="13">
        <v>31.9</v>
      </c>
      <c r="BG97" s="13">
        <v>53</v>
      </c>
      <c r="BH97" s="31" t="s">
        <v>103</v>
      </c>
      <c r="BI97" s="13">
        <v>65.9</v>
      </c>
      <c r="BJ97" s="31">
        <v>4070</v>
      </c>
      <c r="BK97" s="31">
        <v>479.4</v>
      </c>
      <c r="BL97" s="31">
        <v>10.09</v>
      </c>
      <c r="BM97" s="13">
        <v>115430</v>
      </c>
      <c r="BN97" s="31">
        <v>98.3</v>
      </c>
      <c r="BO97" s="13" t="s">
        <v>103</v>
      </c>
      <c r="BP97" s="16">
        <f t="shared" si="14"/>
        <v>9.513</v>
      </c>
      <c r="BQ97" s="16">
        <f t="shared" si="15"/>
        <v>76.4707092777921</v>
      </c>
      <c r="BR97" s="16">
        <f t="shared" si="24"/>
        <v>75.8551517018327</v>
      </c>
      <c r="BS97" s="102">
        <f t="shared" si="29"/>
        <v>19.6969696969697</v>
      </c>
      <c r="BT97" s="13" t="s">
        <v>102</v>
      </c>
      <c r="BU97" s="13" t="s">
        <v>119</v>
      </c>
      <c r="BV97" s="12">
        <v>45943</v>
      </c>
      <c r="BW97" s="13" t="s">
        <v>119</v>
      </c>
      <c r="BX97" s="31">
        <v>10.09</v>
      </c>
      <c r="BY97" s="13" t="s">
        <v>103</v>
      </c>
      <c r="BZ97" s="13" t="s">
        <v>103</v>
      </c>
      <c r="CA97" s="13" t="s">
        <v>103</v>
      </c>
    </row>
    <row r="98" spans="1:79">
      <c r="A98" s="12">
        <v>45953</v>
      </c>
      <c r="B98" s="13">
        <v>25110011</v>
      </c>
      <c r="C98" s="13"/>
      <c r="D98" s="13"/>
      <c r="E98" s="13">
        <v>1</v>
      </c>
      <c r="F98" s="13" t="s">
        <v>91</v>
      </c>
      <c r="G98" s="13">
        <v>42</v>
      </c>
      <c r="H98" s="13">
        <v>9</v>
      </c>
      <c r="I98" s="13" t="s">
        <v>124</v>
      </c>
      <c r="J98" s="13" t="s">
        <v>171</v>
      </c>
      <c r="K98" s="13" t="s">
        <v>160</v>
      </c>
      <c r="L98" s="13">
        <v>600</v>
      </c>
      <c r="M98" s="13">
        <v>4</v>
      </c>
      <c r="N98" s="13" t="s">
        <v>103</v>
      </c>
      <c r="O98" s="13">
        <v>67.5</v>
      </c>
      <c r="P98" s="31">
        <v>1.64</v>
      </c>
      <c r="Q98" s="16">
        <f t="shared" si="19"/>
        <v>25.0966686496133</v>
      </c>
      <c r="R98" s="13">
        <v>24</v>
      </c>
      <c r="S98" s="13" t="s">
        <v>95</v>
      </c>
      <c r="T98" s="13">
        <v>107</v>
      </c>
      <c r="U98" s="13">
        <v>4411</v>
      </c>
      <c r="V98" s="16">
        <f t="shared" si="30"/>
        <v>1.50011335298118</v>
      </c>
      <c r="W98" s="87">
        <f t="shared" si="18"/>
        <v>6263</v>
      </c>
      <c r="X98" s="13">
        <v>6617</v>
      </c>
      <c r="Y98" s="13">
        <v>354</v>
      </c>
      <c r="Z98" s="13">
        <v>95</v>
      </c>
      <c r="AA98" s="13">
        <v>94</v>
      </c>
      <c r="AB98" s="13" t="s">
        <v>96</v>
      </c>
      <c r="AC98" s="13" t="s">
        <v>121</v>
      </c>
      <c r="AD98" s="13" t="s">
        <v>122</v>
      </c>
      <c r="AE98" s="13">
        <v>68</v>
      </c>
      <c r="AF98" s="13">
        <v>73</v>
      </c>
      <c r="AG98" s="13">
        <v>75</v>
      </c>
      <c r="AH98" s="13" t="s">
        <v>109</v>
      </c>
      <c r="AI98" s="13" t="s">
        <v>100</v>
      </c>
      <c r="AJ98" s="13" t="s">
        <v>101</v>
      </c>
      <c r="AK98" s="13" t="s">
        <v>102</v>
      </c>
      <c r="AL98" s="13" t="s">
        <v>113</v>
      </c>
      <c r="AM98" s="13" t="s">
        <v>100</v>
      </c>
      <c r="AN98" s="13" t="s">
        <v>101</v>
      </c>
      <c r="AO98" s="13" t="s">
        <v>102</v>
      </c>
      <c r="AP98" s="13">
        <v>189.7</v>
      </c>
      <c r="AQ98" s="13">
        <v>56.24</v>
      </c>
      <c r="AR98" s="13">
        <v>14.4</v>
      </c>
      <c r="AS98" s="16">
        <f t="shared" ref="AS98:AS117" si="31">AR98*AQ98/100</f>
        <v>8.09856</v>
      </c>
      <c r="AT98" s="13">
        <v>36</v>
      </c>
      <c r="AU98" s="13">
        <v>246</v>
      </c>
      <c r="AV98" s="13">
        <v>263.23</v>
      </c>
      <c r="AW98" s="13">
        <v>97.2</v>
      </c>
      <c r="AX98" s="16">
        <f t="shared" si="21"/>
        <v>255.85956</v>
      </c>
      <c r="AY98" s="16">
        <f t="shared" si="23"/>
        <v>24.05079864</v>
      </c>
      <c r="AZ98" s="31">
        <v>2.2</v>
      </c>
      <c r="BA98" s="13">
        <v>0.24</v>
      </c>
      <c r="BB98" s="13">
        <v>2704</v>
      </c>
      <c r="BC98" s="13">
        <v>48.78</v>
      </c>
      <c r="BD98" s="13">
        <v>12.4</v>
      </c>
      <c r="BE98" s="16">
        <f t="shared" si="22"/>
        <v>6.04872</v>
      </c>
      <c r="BF98" s="13">
        <v>34.9</v>
      </c>
      <c r="BG98" s="13">
        <v>206</v>
      </c>
      <c r="BH98" s="31">
        <v>40.2</v>
      </c>
      <c r="BI98" s="13">
        <v>98.1</v>
      </c>
      <c r="BJ98" s="31">
        <v>4203.9</v>
      </c>
      <c r="BK98" s="31">
        <v>395.1</v>
      </c>
      <c r="BL98" s="31">
        <v>16.4</v>
      </c>
      <c r="BM98" s="13">
        <v>282725</v>
      </c>
      <c r="BN98" s="31">
        <v>98.9</v>
      </c>
      <c r="BO98" s="13" t="s">
        <v>103</v>
      </c>
      <c r="BP98" s="16">
        <f t="shared" si="14"/>
        <v>6.263</v>
      </c>
      <c r="BQ98" s="16">
        <f t="shared" si="15"/>
        <v>64.3066092252885</v>
      </c>
      <c r="BR98" s="16">
        <f t="shared" si="24"/>
        <v>47.4175691801451</v>
      </c>
      <c r="BS98" s="102">
        <f t="shared" si="29"/>
        <v>16.260162601626</v>
      </c>
      <c r="BT98" s="13" t="s">
        <v>102</v>
      </c>
      <c r="BU98" s="13" t="s">
        <v>105</v>
      </c>
      <c r="BV98" s="12">
        <v>45955</v>
      </c>
      <c r="BW98" s="13" t="s">
        <v>105</v>
      </c>
      <c r="BX98" s="31">
        <v>8.2</v>
      </c>
      <c r="BY98" s="13" t="s">
        <v>103</v>
      </c>
      <c r="BZ98" s="13" t="s">
        <v>103</v>
      </c>
      <c r="CA98" s="13" t="s">
        <v>103</v>
      </c>
    </row>
    <row r="99" spans="1:79">
      <c r="A99" s="12">
        <v>45954</v>
      </c>
      <c r="B99" s="13">
        <v>25110012</v>
      </c>
      <c r="C99" s="13"/>
      <c r="D99" s="13"/>
      <c r="E99" s="13">
        <v>1</v>
      </c>
      <c r="F99" s="13" t="s">
        <v>91</v>
      </c>
      <c r="G99" s="13">
        <v>18</v>
      </c>
      <c r="H99" s="13">
        <v>22</v>
      </c>
      <c r="I99" s="13" t="s">
        <v>124</v>
      </c>
      <c r="J99" s="13" t="s">
        <v>125</v>
      </c>
      <c r="K99" s="13" t="s">
        <v>94</v>
      </c>
      <c r="L99" s="13">
        <v>1200</v>
      </c>
      <c r="M99" s="13">
        <v>4</v>
      </c>
      <c r="N99" s="13" t="s">
        <v>103</v>
      </c>
      <c r="O99" s="13">
        <v>140</v>
      </c>
      <c r="P99" s="31">
        <v>1.81</v>
      </c>
      <c r="Q99" s="16">
        <f t="shared" si="19"/>
        <v>42.7337382863771</v>
      </c>
      <c r="R99" s="13">
        <v>112</v>
      </c>
      <c r="S99" s="13" t="s">
        <v>95</v>
      </c>
      <c r="T99" s="13">
        <v>305</v>
      </c>
      <c r="U99" s="13">
        <v>7286</v>
      </c>
      <c r="V99" s="16">
        <f t="shared" si="30"/>
        <v>3.50013724951963</v>
      </c>
      <c r="W99" s="87">
        <f t="shared" si="18"/>
        <v>24242</v>
      </c>
      <c r="X99" s="13">
        <v>25502</v>
      </c>
      <c r="Y99" s="13">
        <v>1260</v>
      </c>
      <c r="Z99" s="13">
        <v>278</v>
      </c>
      <c r="AA99" s="13">
        <v>275</v>
      </c>
      <c r="AB99" s="13" t="s">
        <v>96</v>
      </c>
      <c r="AC99" s="13" t="s">
        <v>121</v>
      </c>
      <c r="AD99" s="13" t="s">
        <v>98</v>
      </c>
      <c r="AE99" s="13">
        <v>92.2</v>
      </c>
      <c r="AF99" s="13">
        <v>90</v>
      </c>
      <c r="AG99" s="13">
        <v>90</v>
      </c>
      <c r="AH99" s="13" t="s">
        <v>109</v>
      </c>
      <c r="AI99" s="13" t="s">
        <v>100</v>
      </c>
      <c r="AJ99" s="13" t="s">
        <v>101</v>
      </c>
      <c r="AK99" s="13" t="s">
        <v>102</v>
      </c>
      <c r="AL99" s="13" t="s">
        <v>113</v>
      </c>
      <c r="AM99" s="13" t="s">
        <v>100</v>
      </c>
      <c r="AN99" s="13" t="s">
        <v>101</v>
      </c>
      <c r="AO99" s="13" t="s">
        <v>102</v>
      </c>
      <c r="AP99" s="13" t="s">
        <v>113</v>
      </c>
      <c r="AQ99" s="13">
        <v>59.05</v>
      </c>
      <c r="AR99" s="13">
        <v>13.5</v>
      </c>
      <c r="AS99" s="16">
        <f t="shared" si="31"/>
        <v>7.97175</v>
      </c>
      <c r="AT99" s="13">
        <v>42</v>
      </c>
      <c r="AU99" s="13">
        <v>255</v>
      </c>
      <c r="AV99" s="13">
        <v>638.9</v>
      </c>
      <c r="AW99" s="13">
        <v>64.3</v>
      </c>
      <c r="AX99" s="16">
        <f t="shared" si="21"/>
        <v>410.8127</v>
      </c>
      <c r="AY99" s="16">
        <f t="shared" si="23"/>
        <v>112.9734925</v>
      </c>
      <c r="AZ99" s="31">
        <v>4</v>
      </c>
      <c r="BA99" s="13">
        <v>0.06</v>
      </c>
      <c r="BB99" s="13">
        <v>2840</v>
      </c>
      <c r="BC99" s="13">
        <v>60.26</v>
      </c>
      <c r="BD99" s="13">
        <v>9.3</v>
      </c>
      <c r="BE99" s="16">
        <f t="shared" si="22"/>
        <v>5.60418</v>
      </c>
      <c r="BF99" s="13">
        <v>40.8</v>
      </c>
      <c r="BG99" s="13">
        <v>154</v>
      </c>
      <c r="BH99" s="31">
        <v>58.2</v>
      </c>
      <c r="BI99" s="13">
        <v>111.9</v>
      </c>
      <c r="BJ99" s="31">
        <v>5424</v>
      </c>
      <c r="BK99" s="31">
        <v>1491</v>
      </c>
      <c r="BL99" s="31">
        <v>13.3</v>
      </c>
      <c r="BM99" s="13">
        <v>645000</v>
      </c>
      <c r="BN99" s="31">
        <v>99.2</v>
      </c>
      <c r="BO99" s="13" t="s">
        <v>103</v>
      </c>
      <c r="BP99" s="16">
        <f t="shared" si="14"/>
        <v>24.242</v>
      </c>
      <c r="BQ99" s="16">
        <f t="shared" si="15"/>
        <v>54.964098600948</v>
      </c>
      <c r="BR99" s="16">
        <f t="shared" si="24"/>
        <v>58.4594112935315</v>
      </c>
      <c r="BS99" s="102">
        <f t="shared" si="29"/>
        <v>39.6078431372549</v>
      </c>
      <c r="BT99" s="13" t="s">
        <v>102</v>
      </c>
      <c r="BU99" s="13" t="s">
        <v>105</v>
      </c>
      <c r="BV99" s="12">
        <v>45954</v>
      </c>
      <c r="BW99" s="13" t="s">
        <v>105</v>
      </c>
      <c r="BX99" s="31">
        <v>10</v>
      </c>
      <c r="BY99" s="13" t="s">
        <v>103</v>
      </c>
      <c r="BZ99" s="13" t="s">
        <v>103</v>
      </c>
      <c r="CA99" s="13" t="s">
        <v>103</v>
      </c>
    </row>
    <row r="100" spans="1:79">
      <c r="A100" s="12">
        <v>45958</v>
      </c>
      <c r="B100" s="13">
        <v>25110013</v>
      </c>
      <c r="C100" s="13"/>
      <c r="D100" s="13"/>
      <c r="E100" s="13">
        <v>1</v>
      </c>
      <c r="F100" s="13" t="s">
        <v>91</v>
      </c>
      <c r="G100" s="13">
        <v>37</v>
      </c>
      <c r="H100" s="13">
        <v>37</v>
      </c>
      <c r="I100" s="13" t="s">
        <v>92</v>
      </c>
      <c r="J100" s="13" t="s">
        <v>93</v>
      </c>
      <c r="K100" s="13" t="s">
        <v>94</v>
      </c>
      <c r="L100" s="13">
        <v>900</v>
      </c>
      <c r="M100" s="13">
        <v>4</v>
      </c>
      <c r="N100" s="114">
        <v>0.24</v>
      </c>
      <c r="O100" s="13">
        <v>76</v>
      </c>
      <c r="P100" s="31">
        <v>1.68</v>
      </c>
      <c r="Q100" s="16">
        <f t="shared" si="19"/>
        <v>26.9274376417234</v>
      </c>
      <c r="R100" s="13">
        <v>76</v>
      </c>
      <c r="S100" s="13" t="s">
        <v>95</v>
      </c>
      <c r="T100" s="13">
        <v>245</v>
      </c>
      <c r="U100" s="13">
        <v>4790</v>
      </c>
      <c r="V100" s="16">
        <f t="shared" si="30"/>
        <v>3.50020876826722</v>
      </c>
      <c r="W100" s="87">
        <f t="shared" si="18"/>
        <v>15946</v>
      </c>
      <c r="X100" s="13">
        <v>16766</v>
      </c>
      <c r="Y100" s="13">
        <v>820</v>
      </c>
      <c r="Z100" s="13">
        <v>226</v>
      </c>
      <c r="AA100" s="13">
        <v>223.7</v>
      </c>
      <c r="AB100" s="13" t="s">
        <v>96</v>
      </c>
      <c r="AC100" s="13" t="s">
        <v>121</v>
      </c>
      <c r="AD100" s="13" t="s">
        <v>122</v>
      </c>
      <c r="AE100" s="13">
        <v>75</v>
      </c>
      <c r="AF100" s="13">
        <v>75</v>
      </c>
      <c r="AG100" s="13">
        <v>70</v>
      </c>
      <c r="AH100" s="13" t="s">
        <v>99</v>
      </c>
      <c r="AI100" s="13" t="s">
        <v>123</v>
      </c>
      <c r="AJ100" s="13" t="s">
        <v>101</v>
      </c>
      <c r="AK100" s="13" t="s">
        <v>102</v>
      </c>
      <c r="AL100" s="13">
        <v>200.8</v>
      </c>
      <c r="AM100" s="13" t="s">
        <v>123</v>
      </c>
      <c r="AN100" s="13" t="s">
        <v>101</v>
      </c>
      <c r="AO100" s="13" t="s">
        <v>102</v>
      </c>
      <c r="AP100" s="13">
        <v>200.8</v>
      </c>
      <c r="AQ100" s="13">
        <v>38.02</v>
      </c>
      <c r="AR100" s="13">
        <v>21</v>
      </c>
      <c r="AS100" s="16">
        <f t="shared" si="31"/>
        <v>7.9842</v>
      </c>
      <c r="AT100" s="13">
        <v>43.9</v>
      </c>
      <c r="AU100" s="13">
        <v>246</v>
      </c>
      <c r="AV100" s="13">
        <v>327.41</v>
      </c>
      <c r="AW100" s="13">
        <v>87.9</v>
      </c>
      <c r="AX100" s="16">
        <f t="shared" si="21"/>
        <v>287.79339</v>
      </c>
      <c r="AY100" s="16">
        <f t="shared" si="23"/>
        <v>64.379381343</v>
      </c>
      <c r="AZ100" s="31">
        <v>3.6</v>
      </c>
      <c r="BA100" s="13">
        <v>0.63</v>
      </c>
      <c r="BB100" s="13">
        <v>3827</v>
      </c>
      <c r="BC100" s="13">
        <v>24.84</v>
      </c>
      <c r="BD100" s="13">
        <v>15.5</v>
      </c>
      <c r="BE100" s="16">
        <f t="shared" si="22"/>
        <v>3.8502</v>
      </c>
      <c r="BF100" s="13">
        <v>44.7</v>
      </c>
      <c r="BG100" s="13">
        <v>112</v>
      </c>
      <c r="BH100" s="31">
        <v>31.7</v>
      </c>
      <c r="BI100" s="13">
        <v>97.4</v>
      </c>
      <c r="BJ100" s="31">
        <v>2788</v>
      </c>
      <c r="BK100" s="31">
        <v>623.6</v>
      </c>
      <c r="BL100" s="31">
        <v>8.2</v>
      </c>
      <c r="BM100" s="13">
        <v>361261</v>
      </c>
      <c r="BN100" s="31">
        <v>99.5</v>
      </c>
      <c r="BO100" s="13" t="s">
        <v>103</v>
      </c>
      <c r="BP100" s="16">
        <f t="shared" si="14"/>
        <v>15.946</v>
      </c>
      <c r="BQ100" s="16">
        <f t="shared" si="15"/>
        <v>40.1509097310198</v>
      </c>
      <c r="BR100" s="16">
        <f t="shared" si="24"/>
        <v>50.5665858506208</v>
      </c>
      <c r="BS100" s="102">
        <f t="shared" si="29"/>
        <v>54.4715447154472</v>
      </c>
      <c r="BT100" s="13" t="s">
        <v>102</v>
      </c>
      <c r="BU100" s="13" t="s">
        <v>105</v>
      </c>
      <c r="BV100" s="12">
        <v>45960</v>
      </c>
      <c r="BW100" s="13" t="s">
        <v>105</v>
      </c>
      <c r="BX100" s="31">
        <v>8.2</v>
      </c>
      <c r="BY100" s="13" t="s">
        <v>103</v>
      </c>
      <c r="BZ100" s="13" t="s">
        <v>103</v>
      </c>
      <c r="CA100" s="13" t="s">
        <v>103</v>
      </c>
    </row>
    <row r="101" spans="1:79">
      <c r="A101" s="12">
        <v>45958</v>
      </c>
      <c r="B101" s="13">
        <v>25110014</v>
      </c>
      <c r="C101" s="13"/>
      <c r="D101" s="13"/>
      <c r="E101" s="13">
        <v>1</v>
      </c>
      <c r="F101" s="13" t="s">
        <v>111</v>
      </c>
      <c r="G101" s="13">
        <v>31</v>
      </c>
      <c r="H101" s="13">
        <v>19</v>
      </c>
      <c r="I101" s="13" t="s">
        <v>120</v>
      </c>
      <c r="J101" s="13" t="s">
        <v>125</v>
      </c>
      <c r="K101" s="13" t="s">
        <v>94</v>
      </c>
      <c r="L101" s="13">
        <v>600</v>
      </c>
      <c r="M101" s="13">
        <v>4</v>
      </c>
      <c r="N101" s="13" t="s">
        <v>103</v>
      </c>
      <c r="O101" s="13">
        <v>63</v>
      </c>
      <c r="P101" s="31">
        <v>1.63</v>
      </c>
      <c r="Q101" s="16">
        <f t="shared" si="19"/>
        <v>23.7118446309609</v>
      </c>
      <c r="R101" s="13">
        <v>69.8</v>
      </c>
      <c r="S101" s="13" t="s">
        <v>95</v>
      </c>
      <c r="T101" s="13">
        <v>207</v>
      </c>
      <c r="U101" s="13">
        <v>3810</v>
      </c>
      <c r="V101" s="16">
        <f t="shared" si="30"/>
        <v>4.0002624671916</v>
      </c>
      <c r="W101" s="87">
        <f t="shared" si="18"/>
        <v>14483</v>
      </c>
      <c r="X101" s="13">
        <v>15241</v>
      </c>
      <c r="Y101" s="13">
        <v>758</v>
      </c>
      <c r="Z101" s="13">
        <v>181</v>
      </c>
      <c r="AA101" s="13">
        <v>179.2</v>
      </c>
      <c r="AB101" s="13" t="s">
        <v>96</v>
      </c>
      <c r="AC101" s="13" t="s">
        <v>97</v>
      </c>
      <c r="AD101" s="13" t="s">
        <v>98</v>
      </c>
      <c r="AE101" s="13">
        <v>80</v>
      </c>
      <c r="AF101" s="13">
        <v>80</v>
      </c>
      <c r="AG101" s="13">
        <v>80</v>
      </c>
      <c r="AH101" s="13" t="s">
        <v>109</v>
      </c>
      <c r="AI101" s="13" t="s">
        <v>100</v>
      </c>
      <c r="AJ101" s="13" t="s">
        <v>101</v>
      </c>
      <c r="AK101" s="11">
        <v>0.9</v>
      </c>
      <c r="AL101" s="13">
        <v>205</v>
      </c>
      <c r="AM101" s="13" t="s">
        <v>100</v>
      </c>
      <c r="AN101" s="13" t="s">
        <v>101</v>
      </c>
      <c r="AO101" s="13" t="s">
        <v>102</v>
      </c>
      <c r="AP101" s="13" t="s">
        <v>102</v>
      </c>
      <c r="AQ101" s="13">
        <v>45.54</v>
      </c>
      <c r="AR101" s="13">
        <v>17.3</v>
      </c>
      <c r="AS101" s="16">
        <f t="shared" si="31"/>
        <v>7.87842</v>
      </c>
      <c r="AT101" s="13">
        <v>33.9</v>
      </c>
      <c r="AU101" s="13">
        <v>209</v>
      </c>
      <c r="AV101" s="13">
        <v>428.15</v>
      </c>
      <c r="AW101" s="13">
        <v>81.4</v>
      </c>
      <c r="AX101" s="16">
        <f t="shared" si="21"/>
        <v>348.5141</v>
      </c>
      <c r="AY101" s="16">
        <f t="shared" si="23"/>
        <v>62.45372672</v>
      </c>
      <c r="AZ101" s="31">
        <v>1.7</v>
      </c>
      <c r="BA101" s="13">
        <v>0.15</v>
      </c>
      <c r="BB101" s="13">
        <v>2163</v>
      </c>
      <c r="BC101" s="13">
        <v>34.12</v>
      </c>
      <c r="BD101" s="13">
        <v>13.8</v>
      </c>
      <c r="BE101" s="16">
        <f t="shared" si="22"/>
        <v>4.70856</v>
      </c>
      <c r="BF101" s="13">
        <v>35.9</v>
      </c>
      <c r="BG101" s="13">
        <v>140</v>
      </c>
      <c r="BH101" s="31">
        <v>30.2</v>
      </c>
      <c r="BI101" s="13">
        <v>70.1</v>
      </c>
      <c r="BJ101" s="31">
        <v>2949.2</v>
      </c>
      <c r="BK101" s="31">
        <v>528.4</v>
      </c>
      <c r="BL101" s="31">
        <v>7.5</v>
      </c>
      <c r="BM101" s="13">
        <v>479285</v>
      </c>
      <c r="BN101" s="31">
        <v>99.3</v>
      </c>
      <c r="BO101" s="13" t="s">
        <v>103</v>
      </c>
      <c r="BP101" s="16">
        <f t="shared" si="14"/>
        <v>14.483</v>
      </c>
      <c r="BQ101" s="16">
        <f t="shared" si="15"/>
        <v>52.0458685242957</v>
      </c>
      <c r="BR101" s="16">
        <f t="shared" si="24"/>
        <v>54.7344424454691</v>
      </c>
      <c r="BS101" s="102">
        <f t="shared" si="29"/>
        <v>33.0143540669856</v>
      </c>
      <c r="BT101" s="13" t="s">
        <v>102</v>
      </c>
      <c r="BU101" s="13" t="s">
        <v>105</v>
      </c>
      <c r="BV101" s="12">
        <v>45959</v>
      </c>
      <c r="BW101" s="13" t="s">
        <v>105</v>
      </c>
      <c r="BX101" s="31">
        <v>7.5</v>
      </c>
      <c r="BY101" s="13" t="s">
        <v>103</v>
      </c>
      <c r="BZ101" s="13" t="s">
        <v>103</v>
      </c>
      <c r="CA101" s="13" t="s">
        <v>103</v>
      </c>
    </row>
    <row r="102" spans="1:79">
      <c r="A102" s="12">
        <v>45961</v>
      </c>
      <c r="B102" s="13">
        <v>25110015</v>
      </c>
      <c r="C102" s="13"/>
      <c r="D102" s="13"/>
      <c r="E102" s="13">
        <v>1</v>
      </c>
      <c r="F102" s="13" t="s">
        <v>91</v>
      </c>
      <c r="G102" s="13">
        <v>54</v>
      </c>
      <c r="H102" s="13">
        <v>52</v>
      </c>
      <c r="I102" s="13" t="s">
        <v>120</v>
      </c>
      <c r="J102" s="13" t="s">
        <v>159</v>
      </c>
      <c r="K102" s="13" t="s">
        <v>94</v>
      </c>
      <c r="L102" s="13">
        <v>900</v>
      </c>
      <c r="M102" s="13">
        <v>4</v>
      </c>
      <c r="N102" s="13" t="s">
        <v>103</v>
      </c>
      <c r="O102" s="13">
        <v>106</v>
      </c>
      <c r="P102" s="31">
        <v>1.73</v>
      </c>
      <c r="Q102" s="16">
        <f t="shared" si="19"/>
        <v>35.41715393097</v>
      </c>
      <c r="R102" s="13">
        <v>94</v>
      </c>
      <c r="S102" s="13" t="s">
        <v>95</v>
      </c>
      <c r="T102" s="13">
        <v>350</v>
      </c>
      <c r="U102" s="13">
        <v>5916</v>
      </c>
      <c r="V102" s="16">
        <f t="shared" si="30"/>
        <v>4.23191345503719</v>
      </c>
      <c r="W102" s="87">
        <f t="shared" si="18"/>
        <v>23791</v>
      </c>
      <c r="X102" s="13">
        <v>25036</v>
      </c>
      <c r="Y102" s="13">
        <v>1245</v>
      </c>
      <c r="Z102" s="13">
        <v>337</v>
      </c>
      <c r="AA102" s="13">
        <v>333.6</v>
      </c>
      <c r="AB102" s="13" t="s">
        <v>96</v>
      </c>
      <c r="AC102" s="13" t="s">
        <v>121</v>
      </c>
      <c r="AD102" s="13" t="s">
        <v>122</v>
      </c>
      <c r="AE102" s="13">
        <v>65</v>
      </c>
      <c r="AF102" s="13">
        <v>75</v>
      </c>
      <c r="AG102" s="13">
        <v>75</v>
      </c>
      <c r="AH102" s="13" t="s">
        <v>109</v>
      </c>
      <c r="AI102" s="13" t="s">
        <v>100</v>
      </c>
      <c r="AJ102" s="13" t="s">
        <v>101</v>
      </c>
      <c r="AK102" s="13" t="s">
        <v>102</v>
      </c>
      <c r="AL102" s="13" t="s">
        <v>102</v>
      </c>
      <c r="AM102" s="13" t="s">
        <v>100</v>
      </c>
      <c r="AN102" s="13" t="s">
        <v>101</v>
      </c>
      <c r="AO102" s="11">
        <v>2.23</v>
      </c>
      <c r="AP102" s="13" t="s">
        <v>113</v>
      </c>
      <c r="AQ102" s="13">
        <v>57.29</v>
      </c>
      <c r="AR102" s="13">
        <v>25.2</v>
      </c>
      <c r="AS102" s="16">
        <f t="shared" si="31"/>
        <v>14.43708</v>
      </c>
      <c r="AT102" s="13">
        <v>45.1</v>
      </c>
      <c r="AU102" s="13">
        <v>194</v>
      </c>
      <c r="AV102" s="13">
        <v>502.8</v>
      </c>
      <c r="AW102" s="13">
        <v>86.2</v>
      </c>
      <c r="AX102" s="16">
        <f t="shared" si="21"/>
        <v>433.4136</v>
      </c>
      <c r="AY102" s="16">
        <f t="shared" si="23"/>
        <v>144.58677696</v>
      </c>
      <c r="AZ102" s="31">
        <v>3</v>
      </c>
      <c r="BA102" s="13">
        <v>0.4</v>
      </c>
      <c r="BB102" s="13">
        <v>2450</v>
      </c>
      <c r="BC102" s="13">
        <v>42.86</v>
      </c>
      <c r="BD102" s="13">
        <v>11.5</v>
      </c>
      <c r="BE102" s="16">
        <f t="shared" si="22"/>
        <v>4.9289</v>
      </c>
      <c r="BF102" s="13">
        <v>45.5</v>
      </c>
      <c r="BG102" s="13">
        <v>69</v>
      </c>
      <c r="BH102" s="31">
        <v>13.4</v>
      </c>
      <c r="BI102" s="13">
        <v>34.5</v>
      </c>
      <c r="BJ102" s="31">
        <v>1042.7</v>
      </c>
      <c r="BK102" s="31">
        <v>347.8</v>
      </c>
      <c r="BL102" s="31">
        <v>3.7</v>
      </c>
      <c r="BM102" s="13">
        <v>502340</v>
      </c>
      <c r="BN102" s="31">
        <v>99.5</v>
      </c>
      <c r="BO102" s="13" t="s">
        <v>103</v>
      </c>
      <c r="BP102" s="16">
        <f t="shared" si="14"/>
        <v>23.791</v>
      </c>
      <c r="BQ102" s="16">
        <f t="shared" si="15"/>
        <v>42.3738364099443</v>
      </c>
      <c r="BR102" s="16">
        <f t="shared" si="24"/>
        <v>42.0955818515966</v>
      </c>
      <c r="BS102" s="102">
        <f t="shared" si="29"/>
        <v>64.4329896907216</v>
      </c>
      <c r="BT102" s="13" t="s">
        <v>102</v>
      </c>
      <c r="BU102" s="13" t="s">
        <v>105</v>
      </c>
      <c r="BV102" s="12">
        <v>45961</v>
      </c>
      <c r="BW102" s="13" t="s">
        <v>105</v>
      </c>
      <c r="BX102" s="31">
        <v>3.7</v>
      </c>
      <c r="BY102" s="13" t="s">
        <v>103</v>
      </c>
      <c r="BZ102" s="13" t="s">
        <v>103</v>
      </c>
      <c r="CA102" s="13" t="s">
        <v>103</v>
      </c>
    </row>
    <row r="103" spans="1:79">
      <c r="A103" s="12">
        <v>45966</v>
      </c>
      <c r="B103" s="13">
        <v>25111001</v>
      </c>
      <c r="C103" s="13"/>
      <c r="D103" s="13"/>
      <c r="E103" s="13">
        <v>1</v>
      </c>
      <c r="F103" s="13" t="s">
        <v>91</v>
      </c>
      <c r="G103" s="13">
        <v>61</v>
      </c>
      <c r="H103" s="13">
        <v>61</v>
      </c>
      <c r="I103" s="13" t="s">
        <v>92</v>
      </c>
      <c r="J103" s="13" t="s">
        <v>133</v>
      </c>
      <c r="K103" s="13" t="s">
        <v>94</v>
      </c>
      <c r="L103" s="13">
        <v>600</v>
      </c>
      <c r="M103" s="13">
        <v>4</v>
      </c>
      <c r="N103" s="13">
        <v>0.24</v>
      </c>
      <c r="O103" s="13">
        <v>60.5</v>
      </c>
      <c r="P103" s="31">
        <v>1.8</v>
      </c>
      <c r="Q103" s="16">
        <f t="shared" si="19"/>
        <v>18.6728395061728</v>
      </c>
      <c r="R103" s="13">
        <v>60.5</v>
      </c>
      <c r="S103" s="13" t="s">
        <v>95</v>
      </c>
      <c r="T103" s="13">
        <v>301</v>
      </c>
      <c r="U103" s="13">
        <v>4675</v>
      </c>
      <c r="V103" s="16">
        <f t="shared" si="30"/>
        <v>5.00021390374332</v>
      </c>
      <c r="W103" s="87">
        <f t="shared" si="18"/>
        <v>22239</v>
      </c>
      <c r="X103" s="13">
        <v>23376</v>
      </c>
      <c r="Y103" s="13">
        <v>1137</v>
      </c>
      <c r="Z103" s="13">
        <v>283</v>
      </c>
      <c r="AA103" s="13">
        <v>280.2</v>
      </c>
      <c r="AB103" s="13" t="s">
        <v>96</v>
      </c>
      <c r="AC103" s="13" t="s">
        <v>121</v>
      </c>
      <c r="AD103" s="13" t="s">
        <v>98</v>
      </c>
      <c r="AE103" s="13">
        <v>80</v>
      </c>
      <c r="AF103" s="13">
        <v>80</v>
      </c>
      <c r="AG103" s="13">
        <v>80</v>
      </c>
      <c r="AH103" s="13" t="s">
        <v>99</v>
      </c>
      <c r="AI103" s="13" t="s">
        <v>110</v>
      </c>
      <c r="AJ103" s="13" t="s">
        <v>101</v>
      </c>
      <c r="AK103" s="13" t="s">
        <v>102</v>
      </c>
      <c r="AL103" s="13">
        <v>70.7</v>
      </c>
      <c r="AM103" s="13" t="s">
        <v>110</v>
      </c>
      <c r="AN103" s="13" t="s">
        <v>101</v>
      </c>
      <c r="AO103" s="13" t="s">
        <v>102</v>
      </c>
      <c r="AP103" s="13">
        <v>70.7</v>
      </c>
      <c r="AQ103" s="13">
        <v>35.86</v>
      </c>
      <c r="AR103" s="13">
        <v>31.9</v>
      </c>
      <c r="AS103" s="16">
        <f t="shared" si="31"/>
        <v>11.43934</v>
      </c>
      <c r="AT103" s="13">
        <v>33.5</v>
      </c>
      <c r="AU103" s="13">
        <v>142</v>
      </c>
      <c r="AV103" s="13">
        <v>375.54</v>
      </c>
      <c r="AW103" s="13">
        <v>77.3</v>
      </c>
      <c r="AX103" s="16">
        <f t="shared" si="21"/>
        <v>290.29242</v>
      </c>
      <c r="AY103" s="16">
        <f t="shared" si="23"/>
        <v>81.339936084</v>
      </c>
      <c r="AZ103" s="31">
        <v>1.5</v>
      </c>
      <c r="BA103" s="13">
        <v>0.12</v>
      </c>
      <c r="BB103" s="13">
        <v>1170</v>
      </c>
      <c r="BC103" s="13">
        <v>40.85</v>
      </c>
      <c r="BD103" s="13">
        <v>18.2</v>
      </c>
      <c r="BE103" s="16">
        <f t="shared" si="22"/>
        <v>7.4347</v>
      </c>
      <c r="BF103" s="13">
        <v>37.6</v>
      </c>
      <c r="BG103" s="13">
        <v>65</v>
      </c>
      <c r="BH103" s="31">
        <v>3.3</v>
      </c>
      <c r="BI103" s="13">
        <v>32</v>
      </c>
      <c r="BJ103" s="31">
        <v>867.8</v>
      </c>
      <c r="BK103" s="31">
        <v>243.1</v>
      </c>
      <c r="BL103" s="31">
        <v>4</v>
      </c>
      <c r="BM103" s="13">
        <v>424757</v>
      </c>
      <c r="BN103" s="31">
        <v>99.4</v>
      </c>
      <c r="BO103" s="13" t="s">
        <v>103</v>
      </c>
      <c r="BP103" s="16">
        <f t="shared" si="14"/>
        <v>22.239</v>
      </c>
      <c r="BQ103" s="16">
        <f t="shared" si="15"/>
        <v>34.1601465893251</v>
      </c>
      <c r="BR103" s="16">
        <f t="shared" si="24"/>
        <v>31.9733103862489</v>
      </c>
      <c r="BS103" s="102">
        <f t="shared" si="29"/>
        <v>54.225352112676</v>
      </c>
      <c r="BT103" s="13" t="s">
        <v>102</v>
      </c>
      <c r="BU103" s="13" t="s">
        <v>105</v>
      </c>
      <c r="BV103" s="12">
        <v>45968</v>
      </c>
      <c r="BW103" s="13" t="s">
        <v>105</v>
      </c>
      <c r="BX103" s="31">
        <v>4</v>
      </c>
      <c r="BY103" s="13" t="s">
        <v>103</v>
      </c>
      <c r="BZ103" s="13" t="s">
        <v>103</v>
      </c>
      <c r="CA103" s="13" t="s">
        <v>103</v>
      </c>
    </row>
    <row r="104" spans="1:79">
      <c r="A104" s="12">
        <v>45967</v>
      </c>
      <c r="B104" s="13">
        <v>25111002</v>
      </c>
      <c r="C104" s="13"/>
      <c r="D104" s="13"/>
      <c r="E104" s="13">
        <v>1</v>
      </c>
      <c r="F104" s="13" t="s">
        <v>91</v>
      </c>
      <c r="G104" s="13">
        <v>46</v>
      </c>
      <c r="H104" s="13">
        <v>21</v>
      </c>
      <c r="I104" s="13" t="s">
        <v>124</v>
      </c>
      <c r="J104" s="13" t="s">
        <v>125</v>
      </c>
      <c r="K104" s="13" t="s">
        <v>118</v>
      </c>
      <c r="L104" s="13">
        <v>18000</v>
      </c>
      <c r="M104" s="13">
        <v>5</v>
      </c>
      <c r="N104" s="13" t="s">
        <v>103</v>
      </c>
      <c r="O104" s="13">
        <v>99</v>
      </c>
      <c r="P104" s="31">
        <v>1.72</v>
      </c>
      <c r="Q104" s="16">
        <f t="shared" si="19"/>
        <v>33.4640346133045</v>
      </c>
      <c r="R104" s="13">
        <v>82</v>
      </c>
      <c r="S104" s="13" t="s">
        <v>95</v>
      </c>
      <c r="T104" s="13">
        <v>358</v>
      </c>
      <c r="U104" s="13">
        <v>5658</v>
      </c>
      <c r="V104" s="16">
        <f t="shared" si="30"/>
        <v>5.00017674089784</v>
      </c>
      <c r="W104" s="87">
        <f t="shared" si="18"/>
        <v>26912</v>
      </c>
      <c r="X104" s="13">
        <v>28291</v>
      </c>
      <c r="Y104" s="13">
        <v>1379</v>
      </c>
      <c r="Z104" s="13">
        <v>343</v>
      </c>
      <c r="AA104" s="13">
        <v>339.6</v>
      </c>
      <c r="AB104" s="13" t="s">
        <v>96</v>
      </c>
      <c r="AC104" s="13" t="s">
        <v>108</v>
      </c>
      <c r="AD104" s="13" t="s">
        <v>98</v>
      </c>
      <c r="AE104" s="13">
        <v>80</v>
      </c>
      <c r="AF104" s="13">
        <v>85</v>
      </c>
      <c r="AG104" s="13">
        <v>85</v>
      </c>
      <c r="AH104" s="13" t="s">
        <v>99</v>
      </c>
      <c r="AI104" s="13" t="s">
        <v>100</v>
      </c>
      <c r="AJ104" s="13" t="s">
        <v>101</v>
      </c>
      <c r="AK104" s="13" t="s">
        <v>102</v>
      </c>
      <c r="AL104" s="13" t="s">
        <v>113</v>
      </c>
      <c r="AM104" s="13" t="s">
        <v>100</v>
      </c>
      <c r="AN104" s="13" t="s">
        <v>101</v>
      </c>
      <c r="AO104" s="13" t="s">
        <v>102</v>
      </c>
      <c r="AP104" s="13">
        <v>118.18</v>
      </c>
      <c r="AQ104" s="13">
        <v>27.45</v>
      </c>
      <c r="AR104" s="13">
        <v>17</v>
      </c>
      <c r="AS104" s="16">
        <f t="shared" si="31"/>
        <v>4.6665</v>
      </c>
      <c r="AT104" s="13">
        <v>40.1</v>
      </c>
      <c r="AU104" s="13">
        <v>183</v>
      </c>
      <c r="AV104" s="13">
        <v>243.21</v>
      </c>
      <c r="AW104" s="13">
        <v>91.5</v>
      </c>
      <c r="AX104" s="16">
        <f t="shared" si="21"/>
        <v>222.53715</v>
      </c>
      <c r="AY104" s="16">
        <f t="shared" si="23"/>
        <v>75.57361614</v>
      </c>
      <c r="AZ104" s="31">
        <v>1.7</v>
      </c>
      <c r="BA104" s="13">
        <v>0.13</v>
      </c>
      <c r="BB104" s="13">
        <v>1933</v>
      </c>
      <c r="BC104" s="13">
        <v>31.94</v>
      </c>
      <c r="BD104" s="13">
        <v>12</v>
      </c>
      <c r="BE104" s="16">
        <f t="shared" si="22"/>
        <v>3.8328</v>
      </c>
      <c r="BF104" s="13">
        <v>41.9</v>
      </c>
      <c r="BG104" s="13">
        <v>107</v>
      </c>
      <c r="BH104" s="31" t="s">
        <v>103</v>
      </c>
      <c r="BI104" s="13">
        <v>23.9</v>
      </c>
      <c r="BJ104" s="31">
        <v>1249.8</v>
      </c>
      <c r="BK104" s="31">
        <v>424.4</v>
      </c>
      <c r="BL104" s="31">
        <v>5.1</v>
      </c>
      <c r="BM104" s="13">
        <v>262863</v>
      </c>
      <c r="BN104" s="31">
        <v>99.4</v>
      </c>
      <c r="BO104" s="13" t="s">
        <v>103</v>
      </c>
      <c r="BP104" s="16">
        <f t="shared" si="14"/>
        <v>26.912</v>
      </c>
      <c r="BQ104" s="16">
        <f t="shared" si="15"/>
        <v>65.9829153378873</v>
      </c>
      <c r="BR104" s="16">
        <f t="shared" si="24"/>
        <v>60.177336154438</v>
      </c>
      <c r="BS104" s="102">
        <f t="shared" si="29"/>
        <v>41.5300546448087</v>
      </c>
      <c r="BT104" s="13" t="s">
        <v>102</v>
      </c>
      <c r="BU104" s="13" t="s">
        <v>172</v>
      </c>
      <c r="BV104" s="12">
        <v>45994</v>
      </c>
      <c r="BW104" s="13" t="s">
        <v>105</v>
      </c>
      <c r="BX104" s="31">
        <v>5.1</v>
      </c>
      <c r="BY104" s="13" t="s">
        <v>130</v>
      </c>
      <c r="BZ104" s="103"/>
      <c r="CA104" s="103"/>
    </row>
    <row r="105" spans="1:77">
      <c r="A105" s="12">
        <v>45967</v>
      </c>
      <c r="B105" s="13">
        <v>25111003</v>
      </c>
      <c r="C105" s="13"/>
      <c r="D105" s="13"/>
      <c r="E105" s="13">
        <v>1</v>
      </c>
      <c r="F105" s="13" t="s">
        <v>111</v>
      </c>
      <c r="G105" s="13">
        <v>29</v>
      </c>
      <c r="H105" s="13">
        <v>7</v>
      </c>
      <c r="I105" s="13" t="s">
        <v>124</v>
      </c>
      <c r="J105" s="13" t="s">
        <v>159</v>
      </c>
      <c r="K105" s="13" t="s">
        <v>135</v>
      </c>
      <c r="L105" s="13">
        <v>600</v>
      </c>
      <c r="M105" s="13">
        <v>4</v>
      </c>
      <c r="N105" s="13" t="s">
        <v>103</v>
      </c>
      <c r="O105" s="13">
        <v>80</v>
      </c>
      <c r="P105" s="31">
        <v>1.6</v>
      </c>
      <c r="Q105" s="16">
        <f t="shared" si="19"/>
        <v>31.25</v>
      </c>
      <c r="R105" s="13">
        <v>23</v>
      </c>
      <c r="S105" s="13" t="s">
        <v>106</v>
      </c>
      <c r="T105" s="13" t="s">
        <v>103</v>
      </c>
      <c r="U105" s="13" t="s">
        <v>103</v>
      </c>
      <c r="V105" s="16" t="e">
        <f t="shared" ref="V105:V117" si="32">X105/U105</f>
        <v>#VALUE!</v>
      </c>
      <c r="W105" s="87" t="e">
        <f t="shared" ref="W105:W117" si="33">X105-Y105</f>
        <v>#VALUE!</v>
      </c>
      <c r="X105" s="13" t="s">
        <v>103</v>
      </c>
      <c r="Y105" s="13" t="s">
        <v>103</v>
      </c>
      <c r="Z105" s="13">
        <v>222</v>
      </c>
      <c r="AA105" s="13">
        <v>222</v>
      </c>
      <c r="AB105" s="13" t="s">
        <v>103</v>
      </c>
      <c r="AC105" s="13" t="s">
        <v>103</v>
      </c>
      <c r="AD105" s="13" t="s">
        <v>157</v>
      </c>
      <c r="AE105" s="13" t="s">
        <v>103</v>
      </c>
      <c r="AF105" s="13" t="s">
        <v>103</v>
      </c>
      <c r="AG105" s="13" t="s">
        <v>103</v>
      </c>
      <c r="AH105" s="13" t="s">
        <v>173</v>
      </c>
      <c r="AI105" s="13" t="s">
        <v>100</v>
      </c>
      <c r="AJ105" s="13" t="s">
        <v>101</v>
      </c>
      <c r="AK105" s="13" t="s">
        <v>102</v>
      </c>
      <c r="AL105" s="13" t="s">
        <v>113</v>
      </c>
      <c r="AM105" s="13" t="s">
        <v>100</v>
      </c>
      <c r="AN105" s="13" t="s">
        <v>102</v>
      </c>
      <c r="AO105" s="13" t="s">
        <v>102</v>
      </c>
      <c r="AP105" s="13">
        <v>69.5</v>
      </c>
      <c r="AQ105" s="13" t="s">
        <v>103</v>
      </c>
      <c r="AR105" s="13" t="s">
        <v>103</v>
      </c>
      <c r="AS105" s="16" t="e">
        <f t="shared" si="31"/>
        <v>#VALUE!</v>
      </c>
      <c r="AT105" s="13" t="s">
        <v>103</v>
      </c>
      <c r="AU105" s="13" t="s">
        <v>103</v>
      </c>
      <c r="AV105" s="13">
        <v>20.05</v>
      </c>
      <c r="AW105" s="13">
        <v>18</v>
      </c>
      <c r="AX105" s="16">
        <f t="shared" si="21"/>
        <v>3.609</v>
      </c>
      <c r="AY105" s="16">
        <f t="shared" si="23"/>
        <v>0.801198</v>
      </c>
      <c r="AZ105" s="13">
        <v>17.5</v>
      </c>
      <c r="BA105" s="13">
        <v>1.45</v>
      </c>
      <c r="BB105" s="13">
        <v>50</v>
      </c>
      <c r="BC105" s="13">
        <v>38.86</v>
      </c>
      <c r="BD105" s="13">
        <v>28.1</v>
      </c>
      <c r="BE105" s="16">
        <f t="shared" si="22"/>
        <v>10.91966</v>
      </c>
      <c r="BF105" s="13">
        <v>29</v>
      </c>
      <c r="BG105" s="13">
        <v>286</v>
      </c>
      <c r="BH105" s="31" t="s">
        <v>103</v>
      </c>
      <c r="BI105" s="13" t="s">
        <v>103</v>
      </c>
      <c r="BJ105" s="31" t="s">
        <v>103</v>
      </c>
      <c r="BK105" s="31" t="s">
        <v>103</v>
      </c>
      <c r="BL105" s="31" t="s">
        <v>103</v>
      </c>
      <c r="BM105" s="13" t="s">
        <v>103</v>
      </c>
      <c r="BN105" s="31" t="s">
        <v>103</v>
      </c>
      <c r="BO105" s="13" t="s">
        <v>103</v>
      </c>
      <c r="BP105" s="16" t="e">
        <f t="shared" ref="BP105:BP120" si="34">(X105-Y105)/1000</f>
        <v>#VALUE!</v>
      </c>
      <c r="BQ105" s="16" t="e">
        <f t="shared" ref="BQ105:BQ119" si="35">(BK105/(BI105*BP105))*100</f>
        <v>#VALUE!</v>
      </c>
      <c r="BR105" s="16" t="e">
        <f t="shared" si="24"/>
        <v>#VALUE!</v>
      </c>
      <c r="BS105" s="102" t="e">
        <f t="shared" ref="BS105:BS120" si="36">(1-(BG105/AU105))*100</f>
        <v>#VALUE!</v>
      </c>
      <c r="BT105" s="13" t="s">
        <v>103</v>
      </c>
      <c r="BU105" s="13" t="s">
        <v>105</v>
      </c>
      <c r="BV105" s="13" t="s">
        <v>103</v>
      </c>
      <c r="BW105" s="13" t="s">
        <v>174</v>
      </c>
      <c r="BX105" s="31" t="s">
        <v>103</v>
      </c>
      <c r="BY105" s="13" t="s">
        <v>175</v>
      </c>
    </row>
    <row r="106" spans="1:79">
      <c r="A106" s="12">
        <v>45968</v>
      </c>
      <c r="B106" s="13">
        <v>25111005</v>
      </c>
      <c r="C106" s="13"/>
      <c r="D106" s="13"/>
      <c r="E106" s="13">
        <v>2</v>
      </c>
      <c r="F106" s="13" t="s">
        <v>111</v>
      </c>
      <c r="G106" s="13">
        <v>29</v>
      </c>
      <c r="H106" s="13">
        <v>7</v>
      </c>
      <c r="I106" s="13" t="s">
        <v>124</v>
      </c>
      <c r="J106" s="13" t="s">
        <v>159</v>
      </c>
      <c r="K106" s="13" t="s">
        <v>135</v>
      </c>
      <c r="L106" s="13">
        <v>600</v>
      </c>
      <c r="M106" s="13">
        <v>5</v>
      </c>
      <c r="N106" s="13">
        <v>0.24</v>
      </c>
      <c r="O106" s="13">
        <v>80</v>
      </c>
      <c r="P106" s="31">
        <v>1.6</v>
      </c>
      <c r="Q106" s="16">
        <f t="shared" si="19"/>
        <v>31.25</v>
      </c>
      <c r="R106" s="13">
        <v>23</v>
      </c>
      <c r="S106" s="13" t="s">
        <v>95</v>
      </c>
      <c r="T106" s="13">
        <v>162</v>
      </c>
      <c r="U106" s="13">
        <v>4288</v>
      </c>
      <c r="V106" s="16">
        <f t="shared" si="32"/>
        <v>2.5</v>
      </c>
      <c r="W106" s="87">
        <f t="shared" si="33"/>
        <v>10188</v>
      </c>
      <c r="X106" s="13">
        <v>10720</v>
      </c>
      <c r="Y106" s="13">
        <v>532</v>
      </c>
      <c r="Z106" s="13">
        <v>133</v>
      </c>
      <c r="AA106" s="13">
        <v>131.7</v>
      </c>
      <c r="AB106" s="13" t="s">
        <v>96</v>
      </c>
      <c r="AC106" s="13" t="s">
        <v>97</v>
      </c>
      <c r="AD106" s="13" t="s">
        <v>98</v>
      </c>
      <c r="AE106" s="13">
        <v>80</v>
      </c>
      <c r="AF106" s="13">
        <v>80</v>
      </c>
      <c r="AG106" s="13">
        <v>60</v>
      </c>
      <c r="AH106" s="13" t="s">
        <v>176</v>
      </c>
      <c r="AI106" s="13" t="s">
        <v>100</v>
      </c>
      <c r="AJ106" s="13" t="s">
        <v>101</v>
      </c>
      <c r="AK106" s="13" t="s">
        <v>102</v>
      </c>
      <c r="AL106" s="13" t="s">
        <v>113</v>
      </c>
      <c r="AM106" s="13" t="s">
        <v>100</v>
      </c>
      <c r="AN106" s="13" t="s">
        <v>102</v>
      </c>
      <c r="AO106" s="13" t="s">
        <v>102</v>
      </c>
      <c r="AP106" s="13">
        <v>69.5</v>
      </c>
      <c r="AQ106" s="13">
        <v>33.51</v>
      </c>
      <c r="AR106" s="13">
        <v>26.1</v>
      </c>
      <c r="AS106" s="16">
        <f t="shared" si="31"/>
        <v>8.74611</v>
      </c>
      <c r="AT106" s="13">
        <v>26.7</v>
      </c>
      <c r="AU106" s="13">
        <v>232</v>
      </c>
      <c r="AV106" s="13">
        <v>592.8</v>
      </c>
      <c r="AW106" s="13">
        <v>73.8</v>
      </c>
      <c r="AX106" s="16">
        <f t="shared" si="21"/>
        <v>437.4864</v>
      </c>
      <c r="AY106" s="16">
        <f t="shared" si="23"/>
        <v>57.61695888</v>
      </c>
      <c r="AZ106" s="31">
        <v>4</v>
      </c>
      <c r="BA106" s="13">
        <v>0.3</v>
      </c>
      <c r="BB106" s="13">
        <v>1650</v>
      </c>
      <c r="BC106" s="13">
        <v>32.95</v>
      </c>
      <c r="BD106" s="13">
        <v>16.9</v>
      </c>
      <c r="BE106" s="16">
        <f t="shared" si="22"/>
        <v>5.56855</v>
      </c>
      <c r="BF106" s="13">
        <v>28.1</v>
      </c>
      <c r="BG106" s="13">
        <v>166</v>
      </c>
      <c r="BH106" s="31" t="s">
        <v>103</v>
      </c>
      <c r="BI106" s="13">
        <v>79.3</v>
      </c>
      <c r="BJ106" s="31">
        <v>3145.2</v>
      </c>
      <c r="BK106" s="31">
        <v>414.2</v>
      </c>
      <c r="BL106" s="31">
        <v>18</v>
      </c>
      <c r="BM106" s="13">
        <v>562986</v>
      </c>
      <c r="BN106" s="31">
        <v>99</v>
      </c>
      <c r="BO106" s="13" t="s">
        <v>103</v>
      </c>
      <c r="BP106" s="16">
        <f t="shared" si="34"/>
        <v>10.188</v>
      </c>
      <c r="BQ106" s="16">
        <f t="shared" si="35"/>
        <v>51.2681883243199</v>
      </c>
      <c r="BR106" s="16">
        <f t="shared" si="24"/>
        <v>64.6616020263797</v>
      </c>
      <c r="BS106" s="102">
        <f t="shared" si="36"/>
        <v>28.448275862069</v>
      </c>
      <c r="BT106" s="13" t="s">
        <v>102</v>
      </c>
      <c r="BU106" s="13" t="s">
        <v>105</v>
      </c>
      <c r="BV106" s="12">
        <v>45969</v>
      </c>
      <c r="BW106" s="13" t="s">
        <v>105</v>
      </c>
      <c r="BX106" s="31">
        <v>9</v>
      </c>
      <c r="BY106" s="13" t="s">
        <v>177</v>
      </c>
      <c r="BZ106" s="13" t="s">
        <v>103</v>
      </c>
      <c r="CA106" s="13" t="s">
        <v>103</v>
      </c>
    </row>
    <row r="107" spans="1:79">
      <c r="A107" s="12">
        <v>45968</v>
      </c>
      <c r="B107" s="13">
        <v>25111006</v>
      </c>
      <c r="C107" s="13"/>
      <c r="D107" s="13"/>
      <c r="E107" s="13">
        <v>2</v>
      </c>
      <c r="F107" s="13" t="s">
        <v>91</v>
      </c>
      <c r="G107" s="13">
        <v>46</v>
      </c>
      <c r="H107" s="13">
        <v>21</v>
      </c>
      <c r="I107" s="13" t="s">
        <v>124</v>
      </c>
      <c r="J107" s="13" t="s">
        <v>125</v>
      </c>
      <c r="K107" s="13" t="s">
        <v>118</v>
      </c>
      <c r="L107" s="13">
        <v>18000</v>
      </c>
      <c r="M107" s="13">
        <v>1</v>
      </c>
      <c r="N107" s="13" t="s">
        <v>103</v>
      </c>
      <c r="O107" s="13">
        <v>99</v>
      </c>
      <c r="P107" s="31">
        <v>1.72</v>
      </c>
      <c r="Q107" s="16">
        <f t="shared" si="19"/>
        <v>33.4640346133045</v>
      </c>
      <c r="R107" s="13">
        <v>82</v>
      </c>
      <c r="S107" s="13" t="s">
        <v>95</v>
      </c>
      <c r="T107" s="13">
        <v>351</v>
      </c>
      <c r="U107" s="13">
        <v>5658</v>
      </c>
      <c r="V107" s="16">
        <f t="shared" si="32"/>
        <v>5.00017674089784</v>
      </c>
      <c r="W107" s="87">
        <f t="shared" si="33"/>
        <v>26920</v>
      </c>
      <c r="X107" s="13">
        <v>28291</v>
      </c>
      <c r="Y107" s="13">
        <v>1371</v>
      </c>
      <c r="Z107" s="13">
        <v>343</v>
      </c>
      <c r="AA107" s="13">
        <v>339.6</v>
      </c>
      <c r="AB107" s="13" t="s">
        <v>96</v>
      </c>
      <c r="AC107" s="13" t="s">
        <v>97</v>
      </c>
      <c r="AD107" s="13" t="s">
        <v>98</v>
      </c>
      <c r="AE107" s="13">
        <v>85</v>
      </c>
      <c r="AF107" s="13">
        <v>85</v>
      </c>
      <c r="AG107" s="13">
        <v>85</v>
      </c>
      <c r="AH107" s="13" t="s">
        <v>99</v>
      </c>
      <c r="AI107" s="13" t="s">
        <v>100</v>
      </c>
      <c r="AJ107" s="13" t="s">
        <v>101</v>
      </c>
      <c r="AK107" s="13" t="s">
        <v>102</v>
      </c>
      <c r="AL107" s="13" t="s">
        <v>113</v>
      </c>
      <c r="AM107" s="13" t="s">
        <v>100</v>
      </c>
      <c r="AN107" s="13" t="s">
        <v>101</v>
      </c>
      <c r="AO107" s="13" t="s">
        <v>102</v>
      </c>
      <c r="AP107" s="13">
        <v>118.18</v>
      </c>
      <c r="AQ107" s="13">
        <v>30.69</v>
      </c>
      <c r="AR107" s="13">
        <v>12.9</v>
      </c>
      <c r="AS107" s="16">
        <f t="shared" si="31"/>
        <v>3.95901</v>
      </c>
      <c r="AT107" s="13">
        <v>39.3</v>
      </c>
      <c r="AU107" s="13">
        <v>88</v>
      </c>
      <c r="AV107" s="13">
        <v>261.53</v>
      </c>
      <c r="AW107" s="13">
        <v>73.5</v>
      </c>
      <c r="AX107" s="16">
        <f t="shared" si="21"/>
        <v>192.22455</v>
      </c>
      <c r="AY107" s="16">
        <f t="shared" si="23"/>
        <v>65.27945718</v>
      </c>
      <c r="AZ107" s="31">
        <v>2.6</v>
      </c>
      <c r="BA107" s="13">
        <v>0.2</v>
      </c>
      <c r="BB107" s="13">
        <v>835</v>
      </c>
      <c r="BC107" s="13">
        <v>37.8</v>
      </c>
      <c r="BD107" s="13">
        <v>10.2</v>
      </c>
      <c r="BE107" s="16">
        <f t="shared" si="22"/>
        <v>3.8556</v>
      </c>
      <c r="BF107" s="13">
        <v>42.5</v>
      </c>
      <c r="BG107" s="13">
        <v>60</v>
      </c>
      <c r="BH107" s="31">
        <v>23.9</v>
      </c>
      <c r="BI107" s="13">
        <v>20.2</v>
      </c>
      <c r="BJ107" s="31">
        <v>970.9</v>
      </c>
      <c r="BK107" s="31">
        <v>329.7</v>
      </c>
      <c r="BL107" s="31">
        <v>4</v>
      </c>
      <c r="BM107" s="13">
        <v>287514</v>
      </c>
      <c r="BN107" s="31">
        <v>99.3</v>
      </c>
      <c r="BO107" s="13" t="s">
        <v>103</v>
      </c>
      <c r="BP107" s="16">
        <f t="shared" si="34"/>
        <v>26.92</v>
      </c>
      <c r="BQ107" s="16">
        <f t="shared" si="35"/>
        <v>60.6306915981346</v>
      </c>
      <c r="BR107" s="16">
        <f t="shared" si="24"/>
        <v>61.2512392923302</v>
      </c>
      <c r="BS107" s="102">
        <f t="shared" si="36"/>
        <v>31.8181818181818</v>
      </c>
      <c r="BT107" s="13" t="s">
        <v>102</v>
      </c>
      <c r="BU107" s="13" t="s">
        <v>172</v>
      </c>
      <c r="BV107" s="12">
        <v>45994</v>
      </c>
      <c r="BW107" s="13" t="s">
        <v>105</v>
      </c>
      <c r="BX107" s="31">
        <v>4</v>
      </c>
      <c r="BY107" s="13" t="s">
        <v>130</v>
      </c>
      <c r="BZ107" s="103"/>
      <c r="CA107" s="103"/>
    </row>
    <row r="108" spans="1:79">
      <c r="A108" s="12">
        <v>45968</v>
      </c>
      <c r="B108" s="13">
        <v>25111007</v>
      </c>
      <c r="C108" s="13"/>
      <c r="D108" s="13"/>
      <c r="E108" s="13">
        <v>1</v>
      </c>
      <c r="F108" s="13" t="s">
        <v>111</v>
      </c>
      <c r="G108" s="13">
        <v>32</v>
      </c>
      <c r="H108" s="13">
        <v>32</v>
      </c>
      <c r="I108" s="13" t="s">
        <v>92</v>
      </c>
      <c r="J108" s="13" t="s">
        <v>117</v>
      </c>
      <c r="K108" s="13" t="s">
        <v>118</v>
      </c>
      <c r="L108" s="13">
        <v>600</v>
      </c>
      <c r="M108" s="13">
        <v>7</v>
      </c>
      <c r="N108" s="13" t="s">
        <v>103</v>
      </c>
      <c r="O108" s="13">
        <v>61</v>
      </c>
      <c r="P108" s="31">
        <v>1.64</v>
      </c>
      <c r="Q108" s="16">
        <f t="shared" si="19"/>
        <v>22.6799524092802</v>
      </c>
      <c r="R108" s="13">
        <v>61</v>
      </c>
      <c r="S108" s="13" t="s">
        <v>95</v>
      </c>
      <c r="T108" s="13">
        <v>117</v>
      </c>
      <c r="U108" s="13">
        <v>3772</v>
      </c>
      <c r="V108" s="16">
        <f t="shared" si="32"/>
        <v>2.00026511134677</v>
      </c>
      <c r="W108" s="87">
        <f t="shared" si="33"/>
        <v>7162</v>
      </c>
      <c r="X108" s="13">
        <v>7545</v>
      </c>
      <c r="Y108" s="13">
        <v>383</v>
      </c>
      <c r="Z108" s="13">
        <v>92</v>
      </c>
      <c r="AA108" s="13">
        <v>91.1</v>
      </c>
      <c r="AB108" s="13" t="s">
        <v>96</v>
      </c>
      <c r="AC108" s="13" t="s">
        <v>108</v>
      </c>
      <c r="AD108" s="13" t="s">
        <v>98</v>
      </c>
      <c r="AE108" s="13">
        <v>80</v>
      </c>
      <c r="AF108" s="13">
        <v>80</v>
      </c>
      <c r="AG108" s="13">
        <v>80</v>
      </c>
      <c r="AH108" s="13" t="s">
        <v>99</v>
      </c>
      <c r="AI108" s="13" t="s">
        <v>110</v>
      </c>
      <c r="AJ108" s="13" t="s">
        <v>102</v>
      </c>
      <c r="AK108" s="13" t="s">
        <v>102</v>
      </c>
      <c r="AL108" s="13" t="s">
        <v>113</v>
      </c>
      <c r="AM108" s="13" t="s">
        <v>110</v>
      </c>
      <c r="AN108" s="13" t="s">
        <v>102</v>
      </c>
      <c r="AO108" s="13" t="s">
        <v>102</v>
      </c>
      <c r="AP108" s="13" t="s">
        <v>113</v>
      </c>
      <c r="AQ108" s="13">
        <v>3.05</v>
      </c>
      <c r="AR108" s="13">
        <v>35</v>
      </c>
      <c r="AS108" s="16">
        <f t="shared" si="31"/>
        <v>1.0675</v>
      </c>
      <c r="AT108" s="13">
        <v>31</v>
      </c>
      <c r="AU108" s="13">
        <v>70</v>
      </c>
      <c r="AV108" s="13">
        <v>192.37</v>
      </c>
      <c r="AW108" s="13">
        <v>44.1</v>
      </c>
      <c r="AX108" s="16">
        <f t="shared" si="21"/>
        <v>84.83517</v>
      </c>
      <c r="AY108" s="16">
        <f t="shared" si="23"/>
        <v>7.728483987</v>
      </c>
      <c r="AZ108" s="31">
        <v>1.4</v>
      </c>
      <c r="BA108" s="13">
        <v>0.1</v>
      </c>
      <c r="BB108" s="13">
        <v>1207</v>
      </c>
      <c r="BC108" s="13">
        <v>8.17</v>
      </c>
      <c r="BD108" s="13">
        <v>27.6</v>
      </c>
      <c r="BE108" s="16">
        <f t="shared" si="22"/>
        <v>2.25492</v>
      </c>
      <c r="BF108" s="13">
        <v>31.5</v>
      </c>
      <c r="BG108" s="13">
        <v>69</v>
      </c>
      <c r="BH108" s="31" t="s">
        <v>103</v>
      </c>
      <c r="BI108" s="13">
        <v>107.3</v>
      </c>
      <c r="BJ108" s="31">
        <v>11595.4</v>
      </c>
      <c r="BK108" s="31">
        <v>1056.3</v>
      </c>
      <c r="BL108" s="31">
        <v>17.3</v>
      </c>
      <c r="BM108" s="13">
        <v>206375</v>
      </c>
      <c r="BN108" s="31">
        <v>98.1</v>
      </c>
      <c r="BO108" s="13" t="s">
        <v>103</v>
      </c>
      <c r="BP108" s="16">
        <f t="shared" si="34"/>
        <v>7.162</v>
      </c>
      <c r="BQ108" s="16">
        <f t="shared" si="35"/>
        <v>137.452689234603</v>
      </c>
      <c r="BR108" s="16">
        <f t="shared" si="24"/>
        <v>101.086255876873</v>
      </c>
      <c r="BS108" s="102">
        <f t="shared" si="36"/>
        <v>1.42857142857142</v>
      </c>
      <c r="BT108" s="13" t="s">
        <v>102</v>
      </c>
      <c r="BU108" s="13" t="s">
        <v>119</v>
      </c>
      <c r="BV108" s="12">
        <v>45971</v>
      </c>
      <c r="BW108" s="13" t="s">
        <v>119</v>
      </c>
      <c r="BX108" s="31">
        <v>17.3</v>
      </c>
      <c r="BY108" s="13" t="s">
        <v>103</v>
      </c>
      <c r="BZ108" s="13" t="s">
        <v>103</v>
      </c>
      <c r="CA108" s="13" t="s">
        <v>103</v>
      </c>
    </row>
    <row r="109" spans="1:79">
      <c r="A109" s="12">
        <v>45968</v>
      </c>
      <c r="B109" s="13">
        <v>25111008</v>
      </c>
      <c r="C109" s="13"/>
      <c r="D109" s="13"/>
      <c r="E109" s="13">
        <v>1</v>
      </c>
      <c r="F109" s="13" t="s">
        <v>91</v>
      </c>
      <c r="G109" s="13">
        <v>49</v>
      </c>
      <c r="H109" s="13">
        <v>49</v>
      </c>
      <c r="I109" s="13" t="s">
        <v>92</v>
      </c>
      <c r="J109" s="13" t="s">
        <v>117</v>
      </c>
      <c r="K109" s="13" t="s">
        <v>118</v>
      </c>
      <c r="L109" s="13">
        <v>900</v>
      </c>
      <c r="M109" s="13">
        <v>7</v>
      </c>
      <c r="N109" s="13" t="s">
        <v>103</v>
      </c>
      <c r="O109" s="13">
        <v>89.5</v>
      </c>
      <c r="P109" s="31">
        <v>1.86</v>
      </c>
      <c r="Q109" s="16">
        <f t="shared" si="19"/>
        <v>25.8700427795121</v>
      </c>
      <c r="R109" s="13">
        <v>89.5</v>
      </c>
      <c r="S109" s="13" t="s">
        <v>95</v>
      </c>
      <c r="T109" s="13">
        <v>220</v>
      </c>
      <c r="U109" s="13">
        <v>5862</v>
      </c>
      <c r="V109" s="16">
        <f t="shared" si="32"/>
        <v>3</v>
      </c>
      <c r="W109" s="87">
        <f t="shared" si="33"/>
        <v>16723</v>
      </c>
      <c r="X109" s="13">
        <v>17586</v>
      </c>
      <c r="Y109" s="13">
        <v>863</v>
      </c>
      <c r="Z109" s="13">
        <v>199</v>
      </c>
      <c r="AA109" s="13">
        <v>197</v>
      </c>
      <c r="AB109" s="13" t="s">
        <v>96</v>
      </c>
      <c r="AC109" s="13" t="s">
        <v>121</v>
      </c>
      <c r="AD109" s="13" t="s">
        <v>98</v>
      </c>
      <c r="AE109" s="13">
        <v>45.9</v>
      </c>
      <c r="AF109" s="13">
        <v>85</v>
      </c>
      <c r="AG109" s="13">
        <v>90</v>
      </c>
      <c r="AH109" s="13" t="s">
        <v>99</v>
      </c>
      <c r="AI109" s="13" t="s">
        <v>100</v>
      </c>
      <c r="AJ109" s="13" t="s">
        <v>101</v>
      </c>
      <c r="AK109" s="13" t="s">
        <v>102</v>
      </c>
      <c r="AL109" s="13">
        <v>202.6</v>
      </c>
      <c r="AM109" s="13" t="s">
        <v>100</v>
      </c>
      <c r="AN109" s="13" t="s">
        <v>101</v>
      </c>
      <c r="AO109" s="13" t="s">
        <v>102</v>
      </c>
      <c r="AP109" s="13">
        <v>202.6</v>
      </c>
      <c r="AQ109" s="13">
        <v>2.03</v>
      </c>
      <c r="AR109" s="13">
        <v>68</v>
      </c>
      <c r="AS109" s="16">
        <f t="shared" si="31"/>
        <v>1.3804</v>
      </c>
      <c r="AT109" s="13">
        <v>34.8</v>
      </c>
      <c r="AU109" s="13">
        <v>153</v>
      </c>
      <c r="AV109" s="13">
        <v>193.29</v>
      </c>
      <c r="AW109" s="13">
        <v>49.9</v>
      </c>
      <c r="AX109" s="16">
        <f t="shared" si="21"/>
        <v>96.45171</v>
      </c>
      <c r="AY109" s="16">
        <f t="shared" si="23"/>
        <v>19.00098687</v>
      </c>
      <c r="AZ109" s="31">
        <v>1.5</v>
      </c>
      <c r="BA109" s="13">
        <v>0.12</v>
      </c>
      <c r="BB109" s="13">
        <v>1830</v>
      </c>
      <c r="BC109" s="13">
        <v>4.1</v>
      </c>
      <c r="BD109" s="13">
        <v>33.2</v>
      </c>
      <c r="BE109" s="16">
        <f t="shared" si="22"/>
        <v>1.3612</v>
      </c>
      <c r="BF109" s="13">
        <v>34.5</v>
      </c>
      <c r="BG109" s="13">
        <v>117</v>
      </c>
      <c r="BH109" s="31" t="s">
        <v>103</v>
      </c>
      <c r="BI109" s="13">
        <v>17.5</v>
      </c>
      <c r="BJ109" s="31">
        <v>1240.4</v>
      </c>
      <c r="BK109" s="31">
        <v>244.3</v>
      </c>
      <c r="BL109" s="31">
        <v>2.7</v>
      </c>
      <c r="BM109" s="13">
        <v>197789</v>
      </c>
      <c r="BN109" s="31">
        <v>99.5</v>
      </c>
      <c r="BO109" s="13" t="s">
        <v>103</v>
      </c>
      <c r="BP109" s="16">
        <f t="shared" si="34"/>
        <v>16.723</v>
      </c>
      <c r="BQ109" s="16">
        <f t="shared" si="35"/>
        <v>83.4778448842911</v>
      </c>
      <c r="BR109" s="16">
        <f t="shared" si="24"/>
        <v>82.3108369081961</v>
      </c>
      <c r="BS109" s="102">
        <f t="shared" si="36"/>
        <v>23.5294117647059</v>
      </c>
      <c r="BT109" s="13" t="s">
        <v>102</v>
      </c>
      <c r="BU109" s="13" t="s">
        <v>119</v>
      </c>
      <c r="BV109" s="12">
        <v>45971</v>
      </c>
      <c r="BW109" s="13" t="s">
        <v>119</v>
      </c>
      <c r="BX109" s="31">
        <v>2.7</v>
      </c>
      <c r="BY109" s="13" t="s">
        <v>103</v>
      </c>
      <c r="BZ109" s="13" t="s">
        <v>103</v>
      </c>
      <c r="CA109" s="13" t="s">
        <v>103</v>
      </c>
    </row>
    <row r="110" spans="1:79">
      <c r="A110" s="12">
        <v>45970</v>
      </c>
      <c r="B110" s="13">
        <v>25111009</v>
      </c>
      <c r="C110" s="13"/>
      <c r="D110" s="13"/>
      <c r="E110" s="13">
        <v>1</v>
      </c>
      <c r="F110" s="13" t="s">
        <v>91</v>
      </c>
      <c r="G110" s="13">
        <v>50</v>
      </c>
      <c r="H110" s="13">
        <v>50</v>
      </c>
      <c r="I110" s="13" t="s">
        <v>92</v>
      </c>
      <c r="J110" s="13" t="s">
        <v>117</v>
      </c>
      <c r="K110" s="13" t="s">
        <v>118</v>
      </c>
      <c r="L110" s="13">
        <v>1100</v>
      </c>
      <c r="M110" s="13">
        <v>7</v>
      </c>
      <c r="N110" s="13" t="s">
        <v>103</v>
      </c>
      <c r="O110" s="13">
        <v>110</v>
      </c>
      <c r="P110" s="31">
        <v>1.96</v>
      </c>
      <c r="Q110" s="16">
        <f t="shared" si="19"/>
        <v>28.6339025406081</v>
      </c>
      <c r="R110" s="13">
        <v>110</v>
      </c>
      <c r="S110" s="13" t="s">
        <v>95</v>
      </c>
      <c r="T110" s="13">
        <v>187</v>
      </c>
      <c r="U110" s="13">
        <v>6908</v>
      </c>
      <c r="V110" s="16">
        <f t="shared" si="32"/>
        <v>2.40011580775912</v>
      </c>
      <c r="W110" s="87">
        <f t="shared" si="33"/>
        <v>15769</v>
      </c>
      <c r="X110" s="13">
        <v>16580</v>
      </c>
      <c r="Y110" s="13">
        <v>811</v>
      </c>
      <c r="Z110" s="13">
        <v>172</v>
      </c>
      <c r="AA110" s="13">
        <v>170.3</v>
      </c>
      <c r="AB110" s="13" t="s">
        <v>96</v>
      </c>
      <c r="AC110" s="13" t="s">
        <v>108</v>
      </c>
      <c r="AD110" s="13" t="s">
        <v>98</v>
      </c>
      <c r="AE110" s="13">
        <v>95</v>
      </c>
      <c r="AF110" s="13">
        <v>95</v>
      </c>
      <c r="AG110" s="13">
        <v>95</v>
      </c>
      <c r="AH110" s="13" t="s">
        <v>99</v>
      </c>
      <c r="AI110" s="13" t="s">
        <v>100</v>
      </c>
      <c r="AJ110" s="13" t="s">
        <v>101</v>
      </c>
      <c r="AK110" s="13" t="s">
        <v>102</v>
      </c>
      <c r="AL110" s="13">
        <v>138.2</v>
      </c>
      <c r="AM110" s="13" t="s">
        <v>100</v>
      </c>
      <c r="AN110" s="13" t="s">
        <v>101</v>
      </c>
      <c r="AO110" s="13" t="s">
        <v>102</v>
      </c>
      <c r="AP110" s="13">
        <v>138.2</v>
      </c>
      <c r="AQ110" s="13">
        <v>10.68</v>
      </c>
      <c r="AR110" s="13">
        <v>16</v>
      </c>
      <c r="AS110" s="16">
        <f t="shared" si="31"/>
        <v>1.7088</v>
      </c>
      <c r="AT110" s="13">
        <v>37.8</v>
      </c>
      <c r="AU110" s="13">
        <v>113</v>
      </c>
      <c r="AV110" s="13">
        <v>231.36</v>
      </c>
      <c r="AW110" s="13">
        <v>44</v>
      </c>
      <c r="AX110" s="16">
        <f t="shared" si="21"/>
        <v>101.7984</v>
      </c>
      <c r="AY110" s="16">
        <f t="shared" si="23"/>
        <v>17.33626752</v>
      </c>
      <c r="AZ110" s="31">
        <v>1.4</v>
      </c>
      <c r="BA110" s="13">
        <v>0.12</v>
      </c>
      <c r="BB110" s="13">
        <v>1950</v>
      </c>
      <c r="BC110" s="13">
        <v>11.31</v>
      </c>
      <c r="BD110" s="13">
        <v>16.5</v>
      </c>
      <c r="BE110" s="16">
        <f t="shared" si="22"/>
        <v>1.86615</v>
      </c>
      <c r="BF110" s="13">
        <v>37.2</v>
      </c>
      <c r="BG110" s="13">
        <v>90</v>
      </c>
      <c r="BH110" s="31" t="s">
        <v>103</v>
      </c>
      <c r="BI110" s="13">
        <v>40.8</v>
      </c>
      <c r="BJ110" s="31">
        <v>2624.3</v>
      </c>
      <c r="BK110" s="31">
        <v>446.9</v>
      </c>
      <c r="BL110" s="31">
        <v>4</v>
      </c>
      <c r="BM110" s="13">
        <v>251182</v>
      </c>
      <c r="BN110" s="31">
        <v>98.4</v>
      </c>
      <c r="BO110" s="13" t="s">
        <v>103</v>
      </c>
      <c r="BP110" s="16">
        <f t="shared" si="34"/>
        <v>15.769</v>
      </c>
      <c r="BQ110" s="16">
        <f t="shared" si="35"/>
        <v>69.4618008278839</v>
      </c>
      <c r="BR110" s="16">
        <f t="shared" si="24"/>
        <v>64.3369119186343</v>
      </c>
      <c r="BS110" s="102">
        <f t="shared" si="36"/>
        <v>20.353982300885</v>
      </c>
      <c r="BT110" s="13" t="s">
        <v>102</v>
      </c>
      <c r="BU110" s="13" t="s">
        <v>119</v>
      </c>
      <c r="BV110" s="12">
        <v>45972</v>
      </c>
      <c r="BW110" s="13" t="s">
        <v>119</v>
      </c>
      <c r="BX110" s="31">
        <v>4</v>
      </c>
      <c r="BY110" s="13" t="s">
        <v>103</v>
      </c>
      <c r="BZ110" s="13" t="s">
        <v>103</v>
      </c>
      <c r="CA110" s="13" t="s">
        <v>103</v>
      </c>
    </row>
    <row r="111" spans="1:79">
      <c r="A111" s="12">
        <v>45979</v>
      </c>
      <c r="B111" s="13">
        <v>25111011</v>
      </c>
      <c r="C111" s="13"/>
      <c r="D111" s="13"/>
      <c r="E111" s="13">
        <v>1</v>
      </c>
      <c r="F111" s="13" t="s">
        <v>111</v>
      </c>
      <c r="G111" s="13">
        <v>53</v>
      </c>
      <c r="H111" s="13">
        <v>53</v>
      </c>
      <c r="I111" s="13" t="s">
        <v>92</v>
      </c>
      <c r="J111" s="13" t="s">
        <v>93</v>
      </c>
      <c r="K111" s="13" t="s">
        <v>132</v>
      </c>
      <c r="L111" s="13">
        <v>900</v>
      </c>
      <c r="M111" s="13">
        <v>4</v>
      </c>
      <c r="N111" s="13">
        <v>0.24</v>
      </c>
      <c r="O111" s="13">
        <v>89</v>
      </c>
      <c r="P111" s="31">
        <v>1.53</v>
      </c>
      <c r="Q111" s="16">
        <f t="shared" si="19"/>
        <v>38.0195651245248</v>
      </c>
      <c r="R111" s="13">
        <v>89</v>
      </c>
      <c r="S111" s="13" t="s">
        <v>95</v>
      </c>
      <c r="T111" s="13">
        <v>219</v>
      </c>
      <c r="U111" s="13">
        <v>4429</v>
      </c>
      <c r="V111" s="16">
        <f t="shared" si="32"/>
        <v>3.59561977873109</v>
      </c>
      <c r="W111" s="87">
        <f t="shared" si="33"/>
        <v>15142</v>
      </c>
      <c r="X111" s="13">
        <v>15925</v>
      </c>
      <c r="Y111" s="13">
        <v>783</v>
      </c>
      <c r="Z111" s="13">
        <v>202</v>
      </c>
      <c r="AA111" s="13">
        <v>200</v>
      </c>
      <c r="AB111" s="13" t="s">
        <v>96</v>
      </c>
      <c r="AC111" s="13" t="s">
        <v>108</v>
      </c>
      <c r="AD111" s="13" t="s">
        <v>98</v>
      </c>
      <c r="AE111" s="13">
        <v>80</v>
      </c>
      <c r="AF111" s="13">
        <v>80</v>
      </c>
      <c r="AG111" s="13">
        <v>80</v>
      </c>
      <c r="AH111" s="13" t="s">
        <v>109</v>
      </c>
      <c r="AI111" s="13" t="s">
        <v>100</v>
      </c>
      <c r="AJ111" s="13" t="s">
        <v>101</v>
      </c>
      <c r="AK111" s="13" t="s">
        <v>102</v>
      </c>
      <c r="AL111" s="13" t="s">
        <v>113</v>
      </c>
      <c r="AM111" s="13" t="s">
        <v>100</v>
      </c>
      <c r="AN111" s="13" t="s">
        <v>101</v>
      </c>
      <c r="AO111" s="13" t="s">
        <v>102</v>
      </c>
      <c r="AP111" s="13" t="s">
        <v>113</v>
      </c>
      <c r="AQ111" s="13">
        <v>73.42</v>
      </c>
      <c r="AR111" s="13">
        <v>23.1</v>
      </c>
      <c r="AS111" s="16">
        <f t="shared" si="31"/>
        <v>16.96002</v>
      </c>
      <c r="AT111" s="13">
        <v>41.8</v>
      </c>
      <c r="AU111" s="13">
        <v>267</v>
      </c>
      <c r="AV111" s="13">
        <v>684.1</v>
      </c>
      <c r="AW111" s="13">
        <v>82</v>
      </c>
      <c r="AX111" s="16">
        <f t="shared" si="21"/>
        <v>560.962</v>
      </c>
      <c r="AY111" s="16">
        <f t="shared" si="23"/>
        <v>112.1924</v>
      </c>
      <c r="AZ111" s="31">
        <v>5</v>
      </c>
      <c r="BA111" s="13">
        <v>0.4</v>
      </c>
      <c r="BB111" s="13">
        <v>4020</v>
      </c>
      <c r="BC111" s="13">
        <v>56.97</v>
      </c>
      <c r="BD111" s="13">
        <v>11.6</v>
      </c>
      <c r="BE111" s="16">
        <f t="shared" si="22"/>
        <v>6.60852</v>
      </c>
      <c r="BF111" s="13">
        <v>42.6</v>
      </c>
      <c r="BG111" s="13">
        <v>92</v>
      </c>
      <c r="BH111" s="31">
        <v>20.5</v>
      </c>
      <c r="BI111" s="13">
        <v>112.3</v>
      </c>
      <c r="BJ111" s="31">
        <v>3479</v>
      </c>
      <c r="BK111" s="31">
        <v>695.7</v>
      </c>
      <c r="BL111" s="31">
        <v>7.8</v>
      </c>
      <c r="BM111" s="13">
        <v>708860</v>
      </c>
      <c r="BN111" s="31">
        <v>99.2</v>
      </c>
      <c r="BO111" s="13" t="s">
        <v>103</v>
      </c>
      <c r="BP111" s="16">
        <f t="shared" si="34"/>
        <v>15.142</v>
      </c>
      <c r="BQ111" s="16">
        <f t="shared" si="35"/>
        <v>40.9127813834319</v>
      </c>
      <c r="BR111" s="16">
        <f t="shared" si="24"/>
        <v>43.6871623543184</v>
      </c>
      <c r="BS111" s="102">
        <f t="shared" si="36"/>
        <v>65.5430711610487</v>
      </c>
      <c r="BT111" s="13" t="s">
        <v>102</v>
      </c>
      <c r="BU111" s="13" t="s">
        <v>119</v>
      </c>
      <c r="BV111" s="12">
        <v>45981</v>
      </c>
      <c r="BW111" s="13" t="s">
        <v>119</v>
      </c>
      <c r="BX111" s="31">
        <v>7.8</v>
      </c>
      <c r="BY111" s="13" t="s">
        <v>103</v>
      </c>
      <c r="BZ111" s="13" t="s">
        <v>103</v>
      </c>
      <c r="CA111" s="13" t="s">
        <v>103</v>
      </c>
    </row>
    <row r="112" spans="1:79">
      <c r="A112" s="12">
        <v>45980</v>
      </c>
      <c r="B112" s="13">
        <v>25111012</v>
      </c>
      <c r="C112" s="13"/>
      <c r="D112" s="13"/>
      <c r="E112" s="13">
        <v>1</v>
      </c>
      <c r="F112" s="13" t="s">
        <v>91</v>
      </c>
      <c r="G112" s="13">
        <v>52</v>
      </c>
      <c r="H112" s="13">
        <v>52</v>
      </c>
      <c r="I112" s="13" t="s">
        <v>92</v>
      </c>
      <c r="J112" s="13" t="s">
        <v>93</v>
      </c>
      <c r="K112" s="13" t="s">
        <v>94</v>
      </c>
      <c r="L112" s="13">
        <v>900</v>
      </c>
      <c r="M112" s="13">
        <v>4</v>
      </c>
      <c r="N112" s="13">
        <v>0.24</v>
      </c>
      <c r="O112" s="13">
        <v>89.5</v>
      </c>
      <c r="P112" s="31">
        <v>1.62</v>
      </c>
      <c r="Q112" s="16">
        <f t="shared" si="19"/>
        <v>34.1030330742265</v>
      </c>
      <c r="R112" s="13">
        <v>89.5</v>
      </c>
      <c r="S112" s="13" t="s">
        <v>95</v>
      </c>
      <c r="T112" s="13">
        <v>304</v>
      </c>
      <c r="U112" s="13">
        <v>5061</v>
      </c>
      <c r="V112" s="16">
        <f t="shared" si="32"/>
        <v>4.5000987947046</v>
      </c>
      <c r="W112" s="87">
        <f t="shared" si="33"/>
        <v>21655</v>
      </c>
      <c r="X112" s="13">
        <v>22775</v>
      </c>
      <c r="Y112" s="13">
        <v>1120</v>
      </c>
      <c r="Z112" s="13">
        <v>287</v>
      </c>
      <c r="AA112" s="13">
        <v>284.1</v>
      </c>
      <c r="AB112" s="13" t="s">
        <v>96</v>
      </c>
      <c r="AC112" s="13" t="s">
        <v>108</v>
      </c>
      <c r="AD112" s="13" t="s">
        <v>98</v>
      </c>
      <c r="AE112" s="13">
        <v>80</v>
      </c>
      <c r="AF112" s="13">
        <v>80</v>
      </c>
      <c r="AG112" s="13">
        <v>80</v>
      </c>
      <c r="AH112" s="13" t="s">
        <v>99</v>
      </c>
      <c r="AI112" s="13" t="s">
        <v>100</v>
      </c>
      <c r="AJ112" s="13" t="s">
        <v>101</v>
      </c>
      <c r="AK112" s="13" t="s">
        <v>102</v>
      </c>
      <c r="AL112" s="13" t="s">
        <v>113</v>
      </c>
      <c r="AM112" s="13" t="s">
        <v>100</v>
      </c>
      <c r="AN112" s="13" t="s">
        <v>101</v>
      </c>
      <c r="AO112" s="13" t="s">
        <v>102</v>
      </c>
      <c r="AP112" s="13" t="s">
        <v>113</v>
      </c>
      <c r="AQ112" s="13">
        <v>59.58</v>
      </c>
      <c r="AR112" s="13">
        <v>18.4</v>
      </c>
      <c r="AS112" s="16">
        <f t="shared" si="31"/>
        <v>10.96272</v>
      </c>
      <c r="AT112" s="13">
        <v>41.9</v>
      </c>
      <c r="AU112" s="13">
        <v>131</v>
      </c>
      <c r="AV112" s="13">
        <v>509</v>
      </c>
      <c r="AW112" s="13">
        <v>86.2</v>
      </c>
      <c r="AX112" s="16">
        <f t="shared" si="21"/>
        <v>438.758</v>
      </c>
      <c r="AY112" s="16">
        <f t="shared" si="23"/>
        <v>124.6511478</v>
      </c>
      <c r="AZ112" s="31">
        <v>3</v>
      </c>
      <c r="BA112" s="13">
        <v>0.4</v>
      </c>
      <c r="BB112" s="13">
        <v>2040</v>
      </c>
      <c r="BC112" s="13">
        <v>48.6</v>
      </c>
      <c r="BD112" s="13">
        <v>10</v>
      </c>
      <c r="BE112" s="16">
        <f t="shared" si="22"/>
        <v>4.86</v>
      </c>
      <c r="BF112" s="13">
        <v>41.3</v>
      </c>
      <c r="BG112" s="13">
        <v>51</v>
      </c>
      <c r="BH112" s="31">
        <v>11.7</v>
      </c>
      <c r="BI112" s="13">
        <v>75.5</v>
      </c>
      <c r="BJ112" s="31">
        <v>2837.5</v>
      </c>
      <c r="BK112" s="31">
        <v>806.1</v>
      </c>
      <c r="BL112" s="31">
        <v>9</v>
      </c>
      <c r="BM112" s="13">
        <v>508459</v>
      </c>
      <c r="BN112" s="31">
        <v>98.7</v>
      </c>
      <c r="BO112" s="13" t="s">
        <v>103</v>
      </c>
      <c r="BP112" s="16">
        <f t="shared" si="34"/>
        <v>21.655</v>
      </c>
      <c r="BQ112" s="16">
        <f t="shared" si="35"/>
        <v>49.3041846781481</v>
      </c>
      <c r="BR112" s="16">
        <f t="shared" si="24"/>
        <v>52.5073102898145</v>
      </c>
      <c r="BS112" s="102">
        <f t="shared" si="36"/>
        <v>61.0687022900763</v>
      </c>
      <c r="BT112" s="13" t="s">
        <v>102</v>
      </c>
      <c r="BU112" s="13" t="s">
        <v>105</v>
      </c>
      <c r="BV112" s="12">
        <v>45981</v>
      </c>
      <c r="BW112" s="13" t="s">
        <v>105</v>
      </c>
      <c r="BX112" s="31">
        <v>9</v>
      </c>
      <c r="BY112" s="13" t="s">
        <v>103</v>
      </c>
      <c r="BZ112" s="13" t="s">
        <v>103</v>
      </c>
      <c r="CA112" s="13" t="s">
        <v>103</v>
      </c>
    </row>
    <row r="113" spans="1:79">
      <c r="A113" s="12">
        <v>45986</v>
      </c>
      <c r="B113" s="13">
        <v>25111013</v>
      </c>
      <c r="C113" s="13"/>
      <c r="D113" s="13"/>
      <c r="E113" s="13">
        <v>1</v>
      </c>
      <c r="F113" s="13" t="s">
        <v>91</v>
      </c>
      <c r="G113" s="13">
        <v>23</v>
      </c>
      <c r="H113" s="13">
        <v>23</v>
      </c>
      <c r="I113" s="13" t="s">
        <v>92</v>
      </c>
      <c r="J113" s="13" t="s">
        <v>115</v>
      </c>
      <c r="K113" s="13" t="s">
        <v>94</v>
      </c>
      <c r="L113" s="13">
        <v>485</v>
      </c>
      <c r="M113" s="13">
        <v>6</v>
      </c>
      <c r="N113" s="114">
        <v>0.24</v>
      </c>
      <c r="O113" s="13">
        <v>48.5</v>
      </c>
      <c r="P113" s="31">
        <v>1.72</v>
      </c>
      <c r="Q113" s="16">
        <f t="shared" si="19"/>
        <v>16.3939967550027</v>
      </c>
      <c r="R113" s="13">
        <v>48.5</v>
      </c>
      <c r="S113" s="13" t="s">
        <v>95</v>
      </c>
      <c r="T113" s="13">
        <v>170</v>
      </c>
      <c r="U113" s="13">
        <v>4048</v>
      </c>
      <c r="V113" s="16">
        <f t="shared" si="32"/>
        <v>3.00024703557312</v>
      </c>
      <c r="W113" s="87">
        <f t="shared" si="33"/>
        <v>11538</v>
      </c>
      <c r="X113" s="13">
        <v>12145</v>
      </c>
      <c r="Y113" s="13">
        <v>607</v>
      </c>
      <c r="Z113" s="13">
        <v>140</v>
      </c>
      <c r="AA113" s="13">
        <v>138.6</v>
      </c>
      <c r="AB113" s="13" t="s">
        <v>96</v>
      </c>
      <c r="AC113" s="13" t="s">
        <v>108</v>
      </c>
      <c r="AD113" s="13" t="s">
        <v>98</v>
      </c>
      <c r="AE113" s="13">
        <v>75</v>
      </c>
      <c r="AF113" s="13">
        <v>80</v>
      </c>
      <c r="AG113" s="13">
        <v>80</v>
      </c>
      <c r="AH113" s="13" t="s">
        <v>109</v>
      </c>
      <c r="AI113" s="13" t="s">
        <v>100</v>
      </c>
      <c r="AJ113" s="13" t="s">
        <v>101</v>
      </c>
      <c r="AK113" s="13" t="s">
        <v>102</v>
      </c>
      <c r="AL113" s="13" t="s">
        <v>102</v>
      </c>
      <c r="AM113" s="13" t="s">
        <v>100</v>
      </c>
      <c r="AN113" s="13" t="s">
        <v>101</v>
      </c>
      <c r="AO113" s="13" t="s">
        <v>102</v>
      </c>
      <c r="AP113" s="13" t="s">
        <v>102</v>
      </c>
      <c r="AQ113" s="13">
        <v>1.79</v>
      </c>
      <c r="AR113" s="13">
        <v>47.5</v>
      </c>
      <c r="AS113" s="16">
        <f t="shared" si="31"/>
        <v>0.85025</v>
      </c>
      <c r="AT113" s="13">
        <v>41.1</v>
      </c>
      <c r="AU113" s="13">
        <v>16</v>
      </c>
      <c r="AV113" s="13">
        <v>95.45</v>
      </c>
      <c r="AW113" s="13">
        <v>50.7</v>
      </c>
      <c r="AX113" s="16">
        <f t="shared" si="21"/>
        <v>48.39315</v>
      </c>
      <c r="AY113" s="16">
        <f t="shared" si="23"/>
        <v>6.70729059</v>
      </c>
      <c r="AZ113" s="31">
        <v>1.5</v>
      </c>
      <c r="BA113" s="13">
        <v>0.18</v>
      </c>
      <c r="BB113" s="13">
        <v>173</v>
      </c>
      <c r="BC113" s="13">
        <v>1.42</v>
      </c>
      <c r="BD113" s="13">
        <v>38.8</v>
      </c>
      <c r="BE113" s="16">
        <f t="shared" si="22"/>
        <v>0.55096</v>
      </c>
      <c r="BF113" s="13">
        <v>37.8</v>
      </c>
      <c r="BG113" s="13">
        <v>11</v>
      </c>
      <c r="BH113" s="31" t="s">
        <v>103</v>
      </c>
      <c r="BI113" s="13">
        <v>15.23</v>
      </c>
      <c r="BJ113" s="31">
        <v>984.7</v>
      </c>
      <c r="BK113" s="31">
        <v>136.4</v>
      </c>
      <c r="BL113" s="31">
        <v>2.81</v>
      </c>
      <c r="BM113" s="13">
        <v>101162</v>
      </c>
      <c r="BN113" s="31">
        <v>99.5</v>
      </c>
      <c r="BO113" s="13" t="s">
        <v>103</v>
      </c>
      <c r="BP113" s="16">
        <f t="shared" si="34"/>
        <v>11.538</v>
      </c>
      <c r="BQ113" s="16">
        <f t="shared" si="35"/>
        <v>77.6218398265368</v>
      </c>
      <c r="BR113" s="16">
        <f t="shared" si="24"/>
        <v>68.3706875237668</v>
      </c>
      <c r="BS113" s="102">
        <f t="shared" si="36"/>
        <v>31.25</v>
      </c>
      <c r="BT113" s="13" t="s">
        <v>102</v>
      </c>
      <c r="BU113" s="13" t="s">
        <v>105</v>
      </c>
      <c r="BV113" s="12">
        <v>45990</v>
      </c>
      <c r="BW113" s="13" t="s">
        <v>105</v>
      </c>
      <c r="BX113" s="31">
        <v>2.81</v>
      </c>
      <c r="BY113" s="13" t="s">
        <v>103</v>
      </c>
      <c r="BZ113" s="13" t="s">
        <v>103</v>
      </c>
      <c r="CA113" s="13" t="s">
        <v>103</v>
      </c>
    </row>
    <row r="114" spans="1:79">
      <c r="A114" s="12">
        <v>45989</v>
      </c>
      <c r="B114" s="13">
        <v>25111015</v>
      </c>
      <c r="C114" s="13"/>
      <c r="D114" s="13"/>
      <c r="E114" s="13">
        <v>1</v>
      </c>
      <c r="F114" s="13" t="s">
        <v>91</v>
      </c>
      <c r="G114" s="13">
        <v>39</v>
      </c>
      <c r="H114" s="13">
        <v>60</v>
      </c>
      <c r="I114" s="13" t="s">
        <v>124</v>
      </c>
      <c r="J114" s="13" t="s">
        <v>178</v>
      </c>
      <c r="K114" s="13" t="s">
        <v>94</v>
      </c>
      <c r="L114" s="13">
        <v>900</v>
      </c>
      <c r="M114" s="13">
        <v>4</v>
      </c>
      <c r="N114" s="114" t="s">
        <v>103</v>
      </c>
      <c r="O114" s="13">
        <v>91</v>
      </c>
      <c r="P114" s="31">
        <v>1.71</v>
      </c>
      <c r="Q114" s="16">
        <f t="shared" si="19"/>
        <v>31.120686707021</v>
      </c>
      <c r="R114" s="13">
        <v>71.5</v>
      </c>
      <c r="S114" s="13" t="s">
        <v>95</v>
      </c>
      <c r="T114" s="13">
        <v>185</v>
      </c>
      <c r="U114" s="13">
        <v>5368</v>
      </c>
      <c r="V114" s="16">
        <f t="shared" si="32"/>
        <v>2.5</v>
      </c>
      <c r="W114" s="87">
        <f t="shared" si="33"/>
        <v>12716</v>
      </c>
      <c r="X114" s="13">
        <v>13420</v>
      </c>
      <c r="Y114" s="13">
        <v>704</v>
      </c>
      <c r="Z114" s="13">
        <v>175</v>
      </c>
      <c r="AA114" s="13">
        <v>173.3</v>
      </c>
      <c r="AB114" s="13" t="s">
        <v>96</v>
      </c>
      <c r="AC114" s="13" t="s">
        <v>108</v>
      </c>
      <c r="AD114" s="13" t="s">
        <v>122</v>
      </c>
      <c r="AE114" s="13">
        <v>80</v>
      </c>
      <c r="AF114" s="13">
        <v>80</v>
      </c>
      <c r="AG114" s="13">
        <v>80</v>
      </c>
      <c r="AH114" s="13" t="s">
        <v>99</v>
      </c>
      <c r="AI114" s="13" t="s">
        <v>100</v>
      </c>
      <c r="AJ114" s="13" t="s">
        <v>101</v>
      </c>
      <c r="AK114" s="13" t="s">
        <v>102</v>
      </c>
      <c r="AL114" s="13">
        <v>112.1</v>
      </c>
      <c r="AM114" s="13" t="s">
        <v>100</v>
      </c>
      <c r="AN114" s="13" t="s">
        <v>101</v>
      </c>
      <c r="AO114" s="13" t="s">
        <v>102</v>
      </c>
      <c r="AP114" s="13" t="s">
        <v>113</v>
      </c>
      <c r="AQ114" s="13">
        <v>50.97</v>
      </c>
      <c r="AR114" s="13">
        <v>19.5</v>
      </c>
      <c r="AS114" s="16">
        <f t="shared" si="31"/>
        <v>9.93915</v>
      </c>
      <c r="AT114" s="13">
        <v>45.4</v>
      </c>
      <c r="AU114" s="13">
        <v>194</v>
      </c>
      <c r="AV114" s="13">
        <v>394.81</v>
      </c>
      <c r="AW114" s="13">
        <v>94.9</v>
      </c>
      <c r="AX114" s="16">
        <f t="shared" si="21"/>
        <v>374.67469</v>
      </c>
      <c r="AY114" s="16">
        <f t="shared" si="23"/>
        <v>64.931123777</v>
      </c>
      <c r="AZ114" s="31">
        <v>4.8</v>
      </c>
      <c r="BA114" s="13">
        <v>0.64</v>
      </c>
      <c r="BB114" s="13">
        <v>3431</v>
      </c>
      <c r="BC114" s="13">
        <v>45.59</v>
      </c>
      <c r="BD114" s="13">
        <v>13.9</v>
      </c>
      <c r="BE114" s="16">
        <f t="shared" si="22"/>
        <v>6.33701</v>
      </c>
      <c r="BF114" s="13">
        <v>45.1</v>
      </c>
      <c r="BG114" s="13">
        <v>102</v>
      </c>
      <c r="BH114" s="31">
        <v>100</v>
      </c>
      <c r="BI114" s="13">
        <v>160.1</v>
      </c>
      <c r="BJ114" s="31">
        <v>6315.4</v>
      </c>
      <c r="BK114" s="31">
        <v>1094.4</v>
      </c>
      <c r="BL114" s="31">
        <v>15.3</v>
      </c>
      <c r="BM114" s="13">
        <v>442921</v>
      </c>
      <c r="BN114" s="31">
        <v>99.1</v>
      </c>
      <c r="BO114" s="13" t="s">
        <v>103</v>
      </c>
      <c r="BP114" s="16">
        <f t="shared" si="34"/>
        <v>12.716</v>
      </c>
      <c r="BQ114" s="16">
        <f t="shared" si="35"/>
        <v>53.7569020934738</v>
      </c>
      <c r="BR114" s="16">
        <f t="shared" si="24"/>
        <v>51.3751561841411</v>
      </c>
      <c r="BS114" s="102">
        <f t="shared" si="36"/>
        <v>47.4226804123711</v>
      </c>
      <c r="BT114" s="13" t="s">
        <v>102</v>
      </c>
      <c r="BU114" s="13" t="s">
        <v>105</v>
      </c>
      <c r="BV114" s="12">
        <v>45991</v>
      </c>
      <c r="BW114" s="13" t="s">
        <v>105</v>
      </c>
      <c r="BX114" s="31">
        <v>10</v>
      </c>
      <c r="BY114" s="13" t="s">
        <v>103</v>
      </c>
      <c r="BZ114" s="13" t="s">
        <v>103</v>
      </c>
      <c r="CA114" s="13" t="s">
        <v>103</v>
      </c>
    </row>
    <row r="115" spans="1:79">
      <c r="A115" s="12">
        <v>45996</v>
      </c>
      <c r="B115" s="13">
        <v>25112002</v>
      </c>
      <c r="C115" s="13"/>
      <c r="D115" s="13"/>
      <c r="E115" s="13">
        <v>1</v>
      </c>
      <c r="F115" s="13" t="s">
        <v>91</v>
      </c>
      <c r="G115" s="13">
        <v>54</v>
      </c>
      <c r="H115" s="13">
        <v>32</v>
      </c>
      <c r="I115" s="13" t="s">
        <v>124</v>
      </c>
      <c r="J115" s="13" t="s">
        <v>107</v>
      </c>
      <c r="K115" s="13" t="s">
        <v>94</v>
      </c>
      <c r="L115" s="13">
        <v>1200</v>
      </c>
      <c r="M115" s="13">
        <v>4</v>
      </c>
      <c r="N115" s="13" t="s">
        <v>103</v>
      </c>
      <c r="O115" s="13">
        <v>109</v>
      </c>
      <c r="P115" s="31">
        <v>1.74</v>
      </c>
      <c r="Q115" s="16">
        <f t="shared" si="19"/>
        <v>36.0021138855859</v>
      </c>
      <c r="R115" s="13">
        <v>122</v>
      </c>
      <c r="S115" s="13" t="s">
        <v>95</v>
      </c>
      <c r="T115" s="13">
        <v>360</v>
      </c>
      <c r="U115" s="13">
        <v>6046</v>
      </c>
      <c r="V115" s="16">
        <f t="shared" si="32"/>
        <v>4.96890506119749</v>
      </c>
      <c r="W115" s="87">
        <f t="shared" si="33"/>
        <v>28589</v>
      </c>
      <c r="X115" s="13">
        <v>30042</v>
      </c>
      <c r="Y115" s="13">
        <v>1453</v>
      </c>
      <c r="Z115" s="13">
        <v>346</v>
      </c>
      <c r="AA115" s="13">
        <v>342.5</v>
      </c>
      <c r="AB115" s="13" t="s">
        <v>96</v>
      </c>
      <c r="AC115" s="13" t="s">
        <v>108</v>
      </c>
      <c r="AD115" s="13" t="s">
        <v>98</v>
      </c>
      <c r="AE115" s="13">
        <v>85</v>
      </c>
      <c r="AF115" s="13">
        <v>90</v>
      </c>
      <c r="AG115" s="13">
        <v>90</v>
      </c>
      <c r="AH115" s="13" t="s">
        <v>109</v>
      </c>
      <c r="AI115" s="13" t="s">
        <v>110</v>
      </c>
      <c r="AJ115" s="13" t="s">
        <v>101</v>
      </c>
      <c r="AK115" s="13" t="s">
        <v>102</v>
      </c>
      <c r="AL115" s="13">
        <v>227</v>
      </c>
      <c r="AM115" s="13" t="s">
        <v>110</v>
      </c>
      <c r="AN115" s="13" t="s">
        <v>101</v>
      </c>
      <c r="AO115" s="13" t="s">
        <v>102</v>
      </c>
      <c r="AP115" s="13" t="s">
        <v>113</v>
      </c>
      <c r="AQ115" s="13">
        <v>60.79</v>
      </c>
      <c r="AR115" s="13">
        <v>14.7</v>
      </c>
      <c r="AS115" s="16">
        <f t="shared" si="31"/>
        <v>8.93613</v>
      </c>
      <c r="AT115" s="13">
        <v>43.3</v>
      </c>
      <c r="AU115" s="13">
        <v>209</v>
      </c>
      <c r="AV115" s="13">
        <v>414.32</v>
      </c>
      <c r="AW115" s="13">
        <v>71.4</v>
      </c>
      <c r="AX115" s="16">
        <f t="shared" si="21"/>
        <v>295.82448</v>
      </c>
      <c r="AY115" s="16">
        <f t="shared" si="23"/>
        <v>101.3198844</v>
      </c>
      <c r="AZ115" s="31">
        <v>2.9</v>
      </c>
      <c r="BA115" s="13">
        <v>0.33</v>
      </c>
      <c r="BB115" s="13">
        <v>2505</v>
      </c>
      <c r="BC115" s="13">
        <v>45.14</v>
      </c>
      <c r="BD115" s="13">
        <v>8.5</v>
      </c>
      <c r="BE115" s="16">
        <f t="shared" si="22"/>
        <v>3.8369</v>
      </c>
      <c r="BF115" s="13">
        <v>42.6</v>
      </c>
      <c r="BG115" s="13">
        <v>85</v>
      </c>
      <c r="BH115" s="31">
        <v>71</v>
      </c>
      <c r="BI115" s="13">
        <v>75</v>
      </c>
      <c r="BJ115" s="31">
        <v>3230.8</v>
      </c>
      <c r="BK115" s="31">
        <v>1106.5</v>
      </c>
      <c r="BL115" s="31">
        <v>9</v>
      </c>
      <c r="BM115" s="13">
        <v>476086</v>
      </c>
      <c r="BN115" s="31">
        <v>98.2</v>
      </c>
      <c r="BO115" s="13" t="s">
        <v>103</v>
      </c>
      <c r="BP115" s="16">
        <f t="shared" si="34"/>
        <v>28.589</v>
      </c>
      <c r="BQ115" s="16">
        <f t="shared" si="35"/>
        <v>51.6049296349412</v>
      </c>
      <c r="BR115" s="16">
        <f t="shared" si="24"/>
        <v>39.6594094303002</v>
      </c>
      <c r="BS115" s="102">
        <f t="shared" si="36"/>
        <v>59.3301435406699</v>
      </c>
      <c r="BT115" s="13" t="s">
        <v>102</v>
      </c>
      <c r="BU115" s="13" t="s">
        <v>105</v>
      </c>
      <c r="BV115" s="12">
        <v>45998</v>
      </c>
      <c r="BW115" s="13" t="s">
        <v>105</v>
      </c>
      <c r="BX115" s="31">
        <v>9</v>
      </c>
      <c r="BY115" s="13" t="s">
        <v>103</v>
      </c>
      <c r="BZ115" s="13" t="s">
        <v>103</v>
      </c>
      <c r="CA115" s="13" t="s">
        <v>103</v>
      </c>
    </row>
    <row r="116" spans="1:79">
      <c r="A116" s="12">
        <v>46007</v>
      </c>
      <c r="B116" s="13">
        <v>25112004</v>
      </c>
      <c r="C116" s="13"/>
      <c r="D116" s="13"/>
      <c r="E116" s="13">
        <v>1</v>
      </c>
      <c r="F116" s="13" t="s">
        <v>111</v>
      </c>
      <c r="G116" s="13">
        <v>15</v>
      </c>
      <c r="H116" s="13">
        <v>15</v>
      </c>
      <c r="I116" s="13" t="s">
        <v>92</v>
      </c>
      <c r="J116" s="13" t="s">
        <v>107</v>
      </c>
      <c r="K116" s="13" t="s">
        <v>94</v>
      </c>
      <c r="L116" s="114">
        <v>300</v>
      </c>
      <c r="M116" s="114">
        <v>4</v>
      </c>
      <c r="N116" s="114">
        <v>0.24</v>
      </c>
      <c r="O116" s="13">
        <v>35.6</v>
      </c>
      <c r="P116" s="31">
        <v>1.52</v>
      </c>
      <c r="Q116" s="16">
        <f t="shared" si="19"/>
        <v>15.4085872576177</v>
      </c>
      <c r="R116" s="13">
        <v>35.6</v>
      </c>
      <c r="S116" s="13" t="s">
        <v>95</v>
      </c>
      <c r="T116" s="13">
        <v>230</v>
      </c>
      <c r="U116" s="13">
        <v>2625</v>
      </c>
      <c r="V116" s="16">
        <f t="shared" si="32"/>
        <v>5</v>
      </c>
      <c r="W116" s="87">
        <f t="shared" si="33"/>
        <v>12476</v>
      </c>
      <c r="X116" s="13">
        <v>13125</v>
      </c>
      <c r="Y116" s="13">
        <v>649</v>
      </c>
      <c r="Z116" s="13">
        <v>196</v>
      </c>
      <c r="AA116" s="13">
        <v>194</v>
      </c>
      <c r="AB116" s="13" t="s">
        <v>96</v>
      </c>
      <c r="AC116" s="13" t="s">
        <v>108</v>
      </c>
      <c r="AD116" s="13" t="s">
        <v>98</v>
      </c>
      <c r="AE116" s="13">
        <v>44.3</v>
      </c>
      <c r="AF116" s="13">
        <v>60</v>
      </c>
      <c r="AG116" s="13">
        <v>65</v>
      </c>
      <c r="AH116" s="13" t="s">
        <v>99</v>
      </c>
      <c r="AI116" s="13" t="s">
        <v>100</v>
      </c>
      <c r="AJ116" s="13" t="s">
        <v>101</v>
      </c>
      <c r="AK116" s="13" t="s">
        <v>102</v>
      </c>
      <c r="AL116" s="13" t="s">
        <v>113</v>
      </c>
      <c r="AM116" s="13" t="s">
        <v>100</v>
      </c>
      <c r="AN116" s="13" t="s">
        <v>101</v>
      </c>
      <c r="AO116" s="13" t="s">
        <v>102</v>
      </c>
      <c r="AP116" s="13" t="s">
        <v>113</v>
      </c>
      <c r="AQ116" s="13">
        <v>11.32</v>
      </c>
      <c r="AR116" s="13">
        <v>28.3</v>
      </c>
      <c r="AS116" s="16">
        <f t="shared" si="31"/>
        <v>3.20356</v>
      </c>
      <c r="AT116" s="13">
        <v>35.9</v>
      </c>
      <c r="AU116" s="13">
        <v>200</v>
      </c>
      <c r="AV116" s="13">
        <v>240.43</v>
      </c>
      <c r="AW116" s="13">
        <v>54.3</v>
      </c>
      <c r="AX116" s="16">
        <f t="shared" si="21"/>
        <v>130.55349</v>
      </c>
      <c r="AY116" s="16">
        <f t="shared" si="23"/>
        <v>25.32737706</v>
      </c>
      <c r="AZ116" s="31">
        <v>1.4</v>
      </c>
      <c r="BA116" s="13">
        <v>0.12</v>
      </c>
      <c r="BB116" s="13">
        <v>1170</v>
      </c>
      <c r="BC116" s="13">
        <v>7.58</v>
      </c>
      <c r="BD116" s="13">
        <v>37.7</v>
      </c>
      <c r="BE116" s="16">
        <f t="shared" si="22"/>
        <v>2.85766</v>
      </c>
      <c r="BF116" s="13">
        <v>33.8</v>
      </c>
      <c r="BG116" s="13">
        <v>136</v>
      </c>
      <c r="BH116" s="31">
        <v>15</v>
      </c>
      <c r="BI116" s="13">
        <v>9</v>
      </c>
      <c r="BJ116" s="31">
        <v>232.8</v>
      </c>
      <c r="BK116" s="31">
        <v>45.1</v>
      </c>
      <c r="BL116" s="31">
        <v>1.2</v>
      </c>
      <c r="BM116" s="13">
        <v>274455</v>
      </c>
      <c r="BN116" s="31">
        <v>99.3</v>
      </c>
      <c r="BO116" s="13" t="s">
        <v>103</v>
      </c>
      <c r="BP116" s="16">
        <f t="shared" si="34"/>
        <v>12.476</v>
      </c>
      <c r="BQ116" s="16">
        <f t="shared" si="35"/>
        <v>40.1660076235261</v>
      </c>
      <c r="BR116" s="16">
        <f t="shared" si="24"/>
        <v>63.3697490801663</v>
      </c>
      <c r="BS116" s="102">
        <f t="shared" si="36"/>
        <v>32</v>
      </c>
      <c r="BT116" s="13" t="s">
        <v>102</v>
      </c>
      <c r="BU116" s="13" t="s">
        <v>105</v>
      </c>
      <c r="BV116" s="12">
        <v>46010</v>
      </c>
      <c r="BW116" s="13" t="s">
        <v>105</v>
      </c>
      <c r="BX116" s="31">
        <v>1.2</v>
      </c>
      <c r="BY116" s="13" t="s">
        <v>103</v>
      </c>
      <c r="BZ116" s="13" t="s">
        <v>103</v>
      </c>
      <c r="CA116" s="13" t="s">
        <v>103</v>
      </c>
    </row>
    <row r="117" spans="1:79">
      <c r="A117" s="12">
        <v>46008</v>
      </c>
      <c r="B117" s="13">
        <v>25112005</v>
      </c>
      <c r="C117" s="13"/>
      <c r="D117" s="13"/>
      <c r="E117" s="13">
        <v>2</v>
      </c>
      <c r="F117" s="13" t="s">
        <v>111</v>
      </c>
      <c r="G117" s="13">
        <v>15</v>
      </c>
      <c r="H117" s="13">
        <v>15</v>
      </c>
      <c r="I117" s="13" t="s">
        <v>92</v>
      </c>
      <c r="J117" s="13" t="s">
        <v>107</v>
      </c>
      <c r="K117" s="13" t="s">
        <v>94</v>
      </c>
      <c r="L117" s="114">
        <v>300</v>
      </c>
      <c r="M117" s="114">
        <v>1</v>
      </c>
      <c r="N117" s="114">
        <v>0.24</v>
      </c>
      <c r="O117" s="13">
        <v>35.6</v>
      </c>
      <c r="P117" s="31">
        <v>1.52</v>
      </c>
      <c r="Q117" s="16">
        <f t="shared" si="19"/>
        <v>15.4085872576177</v>
      </c>
      <c r="R117" s="13">
        <v>35.6</v>
      </c>
      <c r="S117" s="13" t="s">
        <v>95</v>
      </c>
      <c r="T117" s="13">
        <v>224</v>
      </c>
      <c r="U117" s="13">
        <v>2625</v>
      </c>
      <c r="V117" s="16">
        <f t="shared" si="32"/>
        <v>5</v>
      </c>
      <c r="W117" s="87">
        <f t="shared" si="33"/>
        <v>12478</v>
      </c>
      <c r="X117" s="13">
        <v>13125</v>
      </c>
      <c r="Y117" s="13">
        <v>647</v>
      </c>
      <c r="Z117" s="13">
        <v>224</v>
      </c>
      <c r="AA117" s="13">
        <v>221.8</v>
      </c>
      <c r="AB117" s="13" t="s">
        <v>96</v>
      </c>
      <c r="AC117" s="13" t="s">
        <v>108</v>
      </c>
      <c r="AD117" s="13" t="s">
        <v>98</v>
      </c>
      <c r="AE117" s="13">
        <v>60</v>
      </c>
      <c r="AF117" s="13">
        <v>60</v>
      </c>
      <c r="AG117" s="13">
        <v>60</v>
      </c>
      <c r="AH117" s="13" t="s">
        <v>99</v>
      </c>
      <c r="AI117" s="13" t="s">
        <v>100</v>
      </c>
      <c r="AJ117" s="13" t="s">
        <v>101</v>
      </c>
      <c r="AK117" s="13" t="s">
        <v>102</v>
      </c>
      <c r="AL117" s="13" t="s">
        <v>113</v>
      </c>
      <c r="AM117" s="13" t="s">
        <v>100</v>
      </c>
      <c r="AN117" s="13" t="s">
        <v>101</v>
      </c>
      <c r="AO117" s="13" t="s">
        <v>102</v>
      </c>
      <c r="AP117" s="13" t="s">
        <v>113</v>
      </c>
      <c r="AQ117" s="13">
        <v>48.77</v>
      </c>
      <c r="AR117" s="13">
        <v>12.5</v>
      </c>
      <c r="AS117" s="16">
        <f t="shared" si="31"/>
        <v>6.09625</v>
      </c>
      <c r="AT117" s="13">
        <v>35.2</v>
      </c>
      <c r="AU117" s="13">
        <v>136</v>
      </c>
      <c r="AV117" s="13">
        <v>276.45</v>
      </c>
      <c r="AW117" s="13">
        <v>71.9</v>
      </c>
      <c r="AX117" s="16">
        <f t="shared" si="21"/>
        <v>198.76755</v>
      </c>
      <c r="AY117" s="16">
        <f t="shared" si="23"/>
        <v>44.08664259</v>
      </c>
      <c r="AZ117" s="31">
        <v>1.9</v>
      </c>
      <c r="BA117" s="13">
        <v>0.12</v>
      </c>
      <c r="BB117" s="13">
        <v>709</v>
      </c>
      <c r="BC117" s="13">
        <v>44.53</v>
      </c>
      <c r="BD117" s="13">
        <v>9</v>
      </c>
      <c r="BE117" s="16">
        <f t="shared" si="22"/>
        <v>4.0077</v>
      </c>
      <c r="BF117" s="13">
        <v>33.5</v>
      </c>
      <c r="BG117" s="13">
        <v>102</v>
      </c>
      <c r="BH117" s="31">
        <v>9</v>
      </c>
      <c r="BI117" s="13" t="s">
        <v>103</v>
      </c>
      <c r="BJ117" s="31">
        <v>451.7</v>
      </c>
      <c r="BK117" s="31">
        <v>100.1</v>
      </c>
      <c r="BL117" s="31">
        <v>2.81</v>
      </c>
      <c r="BM117" s="13">
        <v>314346</v>
      </c>
      <c r="BN117" s="31">
        <v>99.4</v>
      </c>
      <c r="BO117" s="13" t="s">
        <v>103</v>
      </c>
      <c r="BP117" s="16">
        <f t="shared" si="34"/>
        <v>12.478</v>
      </c>
      <c r="BQ117" s="16" t="e">
        <f t="shared" si="35"/>
        <v>#VALUE!</v>
      </c>
      <c r="BR117" s="16">
        <f t="shared" si="24"/>
        <v>57.9561164775287</v>
      </c>
      <c r="BS117" s="102">
        <f t="shared" si="36"/>
        <v>25</v>
      </c>
      <c r="BT117" s="13" t="s">
        <v>102</v>
      </c>
      <c r="BU117" s="13" t="s">
        <v>105</v>
      </c>
      <c r="BV117" s="12">
        <v>46010</v>
      </c>
      <c r="BW117" s="13" t="s">
        <v>105</v>
      </c>
      <c r="BX117" s="31">
        <v>2.8</v>
      </c>
      <c r="BY117" s="13" t="s">
        <v>103</v>
      </c>
      <c r="BZ117" s="13" t="s">
        <v>103</v>
      </c>
      <c r="CA117" s="13" t="s">
        <v>103</v>
      </c>
    </row>
    <row r="118" spans="17:71">
      <c r="Q118" s="16" t="e">
        <f t="shared" si="19"/>
        <v>#DIV/0!</v>
      </c>
      <c r="BP118" s="16">
        <f t="shared" si="34"/>
        <v>0</v>
      </c>
      <c r="BQ118" s="16" t="e">
        <f t="shared" si="35"/>
        <v>#DIV/0!</v>
      </c>
      <c r="BR118" s="16" t="e">
        <f t="shared" si="24"/>
        <v>#DIV/0!</v>
      </c>
      <c r="BS118" s="102" t="e">
        <f t="shared" si="36"/>
        <v>#DIV/0!</v>
      </c>
    </row>
    <row r="119" spans="17:71">
      <c r="Q119" s="16" t="e">
        <f t="shared" si="19"/>
        <v>#DIV/0!</v>
      </c>
      <c r="BP119" s="16">
        <f t="shared" si="34"/>
        <v>0</v>
      </c>
      <c r="BQ119" s="16" t="e">
        <f t="shared" si="35"/>
        <v>#DIV/0!</v>
      </c>
      <c r="BR119" s="16" t="e">
        <f t="shared" ref="BR119:BR123" si="37">(AY119/(AS119*BP119))*100</f>
        <v>#DIV/0!</v>
      </c>
      <c r="BS119" s="102" t="e">
        <f t="shared" si="36"/>
        <v>#DIV/0!</v>
      </c>
    </row>
    <row r="120" spans="68:71">
      <c r="BP120" s="16">
        <f t="shared" si="34"/>
        <v>0</v>
      </c>
      <c r="BQ120" s="16" t="e">
        <f t="shared" ref="BQ120" si="38">(BK120/(BI120*BP120))*100</f>
        <v>#DIV/0!</v>
      </c>
      <c r="BR120" s="16" t="e">
        <f t="shared" si="37"/>
        <v>#DIV/0!</v>
      </c>
      <c r="BS120" s="102" t="e">
        <f t="shared" si="36"/>
        <v>#DIV/0!</v>
      </c>
    </row>
    <row r="121" spans="70:70">
      <c r="BR121" s="16" t="e">
        <f t="shared" si="37"/>
        <v>#DIV/0!</v>
      </c>
    </row>
    <row r="122" spans="70:70">
      <c r="BR122" s="16" t="e">
        <f t="shared" si="37"/>
        <v>#DIV/0!</v>
      </c>
    </row>
    <row r="123" spans="70:70">
      <c r="BR123" s="16" t="e">
        <f t="shared" si="37"/>
        <v>#DIV/0!</v>
      </c>
    </row>
  </sheetData>
  <sheetProtection autoFilter="0"/>
  <protectedRanges>
    <protectedRange algorithmName="SHA-512" hashValue="M1qYlco6JY5oG+z6r6KGKp0f7459X/7SSu//C7VOijOlLMQ62vDI7Poal+KEzy0T2PMkWZ5YCZZhEa8eyZOi/Q==" saltValue="w1edGYp+JBnqK0fApdfGbQ==" spinCount="100000" sqref="V1:V2 BE1:BE77 AS75:AS77 V3:W77 Q1:Q77 BP1:BS2 AS1:AS73 AX2:AY2 AX118:AY1048576 AX1 AX3:AX77 AX80:AX117 AY3:AY117 BP3:BQ77 BS3:BS77 BE80:BE1048576 AS80:AS1048576 Q80:Q1048576 V80:W1048576 BP124:BS1048576 BP80:BQ123 BS80:BS123 BR3:BR123" name="AllowSortFilter"/>
    <protectedRange algorithmName="SHA-512" hashValue="M1qYlco6JY5oG+z6r6KGKp0f7459X/7SSu//C7VOijOlLMQ62vDI7Poal+KEzy0T2PMkWZ5YCZZhEa8eyZOi/Q==" saltValue="w1edGYp+JBnqK0fApdfGbQ==" spinCount="100000" sqref="W2" name="AllowSortFilter_1"/>
    <protectedRange algorithmName="SHA-512" hashValue="M1qYlco6JY5oG+z6r6KGKp0f7459X/7SSu//C7VOijOlLMQ62vDI7Poal+KEzy0T2PMkWZ5YCZZhEa8eyZOi/Q==" saltValue="w1edGYp+JBnqK0fApdfGbQ==" spinCount="100000" sqref="AY1" name="AllowSortFilter_1_1"/>
  </protectedRanges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C1" sqref="C1:D21"/>
    </sheetView>
  </sheetViews>
  <sheetFormatPr defaultColWidth="11" defaultRowHeight="15" outlineLevelCol="4"/>
  <cols>
    <col min="3" max="3" width="35.5714285714286" customWidth="1"/>
    <col min="4" max="4" width="34.8571428571429" customWidth="1"/>
  </cols>
  <sheetData>
    <row r="1" spans="1:4">
      <c r="A1" s="12">
        <v>45915</v>
      </c>
      <c r="B1" s="13">
        <v>25109010</v>
      </c>
      <c r="C1" s="120"/>
      <c r="D1" s="13"/>
    </row>
    <row r="2" spans="1:4">
      <c r="A2" s="12">
        <v>45966</v>
      </c>
      <c r="B2" s="13">
        <v>25111001</v>
      </c>
      <c r="C2" s="120"/>
      <c r="D2" s="13"/>
    </row>
    <row r="3" spans="1:4">
      <c r="A3" s="12">
        <v>45967</v>
      </c>
      <c r="B3" s="13">
        <v>25111002</v>
      </c>
      <c r="C3" s="120"/>
      <c r="D3" s="13"/>
    </row>
    <row r="4" spans="1:4">
      <c r="A4" s="12">
        <v>45967</v>
      </c>
      <c r="B4" s="13">
        <v>25111003</v>
      </c>
      <c r="C4" s="120"/>
      <c r="D4" s="13"/>
    </row>
    <row r="5" spans="1:4">
      <c r="A5" s="12">
        <v>45968</v>
      </c>
      <c r="B5" s="13">
        <v>25111005</v>
      </c>
      <c r="C5" s="120"/>
      <c r="D5" s="13"/>
    </row>
    <row r="6" spans="1:4">
      <c r="A6" s="12">
        <v>45968</v>
      </c>
      <c r="B6" s="13">
        <v>25111006</v>
      </c>
      <c r="C6" s="120"/>
      <c r="D6" s="13"/>
    </row>
    <row r="7" spans="1:4">
      <c r="A7" s="12">
        <v>45968</v>
      </c>
      <c r="B7" s="13">
        <v>25111007</v>
      </c>
      <c r="C7" s="120"/>
      <c r="D7" s="13"/>
    </row>
    <row r="8" spans="1:4">
      <c r="A8" s="12">
        <v>45968</v>
      </c>
      <c r="B8" s="13">
        <v>25111008</v>
      </c>
      <c r="C8" s="120"/>
      <c r="D8" s="13"/>
    </row>
    <row r="9" spans="1:4">
      <c r="A9" s="12">
        <v>45970</v>
      </c>
      <c r="B9" s="13">
        <v>25111009</v>
      </c>
      <c r="C9" s="120"/>
      <c r="D9" s="13"/>
    </row>
    <row r="10" spans="1:4">
      <c r="A10" s="12">
        <v>45979</v>
      </c>
      <c r="B10" s="13">
        <v>25111011</v>
      </c>
      <c r="C10" s="120"/>
      <c r="D10" s="13"/>
    </row>
    <row r="11" spans="1:4">
      <c r="A11" s="12">
        <v>45980</v>
      </c>
      <c r="B11" s="13">
        <v>25111012</v>
      </c>
      <c r="C11" s="120"/>
      <c r="D11" s="13"/>
    </row>
    <row r="12" spans="1:4">
      <c r="A12" s="12">
        <v>45986</v>
      </c>
      <c r="B12" s="13">
        <v>25111013</v>
      </c>
      <c r="C12" s="120"/>
      <c r="D12" s="13"/>
    </row>
    <row r="13" spans="1:5">
      <c r="A13" s="12">
        <v>45989</v>
      </c>
      <c r="B13" s="13">
        <v>25111015</v>
      </c>
      <c r="C13" s="120"/>
      <c r="D13" s="13"/>
      <c r="E13" t="s">
        <v>179</v>
      </c>
    </row>
    <row r="15" spans="1:4">
      <c r="A15" s="12">
        <v>45996</v>
      </c>
      <c r="B15" s="13">
        <v>25112002</v>
      </c>
      <c r="C15" s="13"/>
      <c r="D15" s="13"/>
    </row>
    <row r="16" spans="1:4">
      <c r="A16" s="12">
        <v>46007</v>
      </c>
      <c r="B16" s="13">
        <v>25112004</v>
      </c>
      <c r="C16" s="13"/>
      <c r="D16" s="13"/>
    </row>
    <row r="17" spans="1:4">
      <c r="A17" s="12">
        <v>46008</v>
      </c>
      <c r="B17" s="13">
        <v>25112005</v>
      </c>
      <c r="C17" s="13"/>
      <c r="D17" s="13"/>
    </row>
    <row r="18" spans="1:4">
      <c r="A18" s="121">
        <v>45671</v>
      </c>
      <c r="B18" s="13">
        <v>26101003</v>
      </c>
      <c r="C18" s="13"/>
      <c r="D18" s="13"/>
    </row>
    <row r="19" spans="1:4">
      <c r="A19" s="121">
        <v>45672</v>
      </c>
      <c r="B19" s="13">
        <v>26101004</v>
      </c>
      <c r="C19" s="13"/>
      <c r="D19" s="13"/>
    </row>
    <row r="20" spans="1:4">
      <c r="A20" s="121">
        <v>45672</v>
      </c>
      <c r="B20" s="13">
        <v>26015005</v>
      </c>
      <c r="C20" s="13"/>
      <c r="D20" s="13"/>
    </row>
    <row r="21" spans="1:4">
      <c r="A21" s="121">
        <v>45673</v>
      </c>
      <c r="B21" s="13">
        <v>26101006</v>
      </c>
      <c r="C21" s="13"/>
      <c r="D21" s="1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117"/>
  <sheetViews>
    <sheetView topLeftCell="A112" workbookViewId="0">
      <selection activeCell="C110" sqref="C110:D116"/>
    </sheetView>
  </sheetViews>
  <sheetFormatPr defaultColWidth="11" defaultRowHeight="15"/>
  <sheetData>
    <row r="1" ht="51.75" spans="1:7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8" t="s">
        <v>15</v>
      </c>
      <c r="Q1" s="14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34" t="s">
        <v>21</v>
      </c>
      <c r="W1" s="85" t="s">
        <v>22</v>
      </c>
      <c r="X1" s="9" t="s">
        <v>23</v>
      </c>
      <c r="Y1" s="9" t="s">
        <v>24</v>
      </c>
      <c r="Z1" s="9" t="s">
        <v>25</v>
      </c>
      <c r="AA1" s="18" t="s">
        <v>26</v>
      </c>
      <c r="AB1" s="21" t="s">
        <v>27</v>
      </c>
      <c r="AC1" s="22" t="s">
        <v>28</v>
      </c>
      <c r="AD1" s="23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33" t="s">
        <v>34</v>
      </c>
      <c r="AJ1" s="33" t="s">
        <v>35</v>
      </c>
      <c r="AK1" s="33" t="s">
        <v>36</v>
      </c>
      <c r="AL1" s="33" t="s">
        <v>37</v>
      </c>
      <c r="AM1" s="89" t="s">
        <v>38</v>
      </c>
      <c r="AN1" s="89" t="s">
        <v>39</v>
      </c>
      <c r="AO1" s="89" t="s">
        <v>40</v>
      </c>
      <c r="AP1" s="89" t="s">
        <v>41</v>
      </c>
      <c r="AQ1" s="25" t="s">
        <v>42</v>
      </c>
      <c r="AR1" s="25" t="s">
        <v>43</v>
      </c>
      <c r="AS1" s="90" t="s">
        <v>44</v>
      </c>
      <c r="AT1" s="25" t="s">
        <v>45</v>
      </c>
      <c r="AU1" s="25" t="s">
        <v>46</v>
      </c>
      <c r="AV1" s="27" t="s">
        <v>47</v>
      </c>
      <c r="AW1" s="27" t="s">
        <v>48</v>
      </c>
      <c r="AX1" s="91" t="s">
        <v>49</v>
      </c>
      <c r="AY1" s="29" t="s">
        <v>51</v>
      </c>
      <c r="AZ1" s="27" t="s">
        <v>52</v>
      </c>
      <c r="BA1" s="27" t="s">
        <v>53</v>
      </c>
      <c r="BB1" s="92" t="s">
        <v>54</v>
      </c>
      <c r="BC1" s="92" t="s">
        <v>55</v>
      </c>
      <c r="BD1" s="91" t="s">
        <v>56</v>
      </c>
      <c r="BE1" s="93" t="s">
        <v>57</v>
      </c>
      <c r="BF1" s="92" t="s">
        <v>58</v>
      </c>
      <c r="BG1" s="94" t="s">
        <v>59</v>
      </c>
      <c r="BH1" s="95" t="s">
        <v>60</v>
      </c>
      <c r="BI1" s="96" t="s">
        <v>61</v>
      </c>
      <c r="BJ1" s="96" t="s">
        <v>62</v>
      </c>
      <c r="BK1" s="96" t="s">
        <v>63</v>
      </c>
      <c r="BL1" s="96" t="s">
        <v>64</v>
      </c>
      <c r="BM1" s="96" t="s">
        <v>65</v>
      </c>
      <c r="BN1" s="98" t="s">
        <v>66</v>
      </c>
      <c r="BO1" s="99" t="s">
        <v>67</v>
      </c>
      <c r="BP1" s="99" t="s">
        <v>68</v>
      </c>
      <c r="BQ1" s="99" t="s">
        <v>69</v>
      </c>
      <c r="BR1" s="100" t="s">
        <v>70</v>
      </c>
      <c r="BS1" s="101" t="s">
        <v>71</v>
      </c>
      <c r="BT1" s="24" t="s">
        <v>72</v>
      </c>
      <c r="BU1" s="24" t="s">
        <v>73</v>
      </c>
      <c r="BV1" s="24" t="s">
        <v>74</v>
      </c>
      <c r="BW1" s="104" t="s">
        <v>75</v>
      </c>
      <c r="BX1" s="105" t="s">
        <v>76</v>
      </c>
      <c r="BY1" s="106" t="s">
        <v>77</v>
      </c>
      <c r="BZ1" s="106" t="s">
        <v>78</v>
      </c>
    </row>
    <row r="2" spans="1:78">
      <c r="A2" s="12">
        <v>45671</v>
      </c>
      <c r="B2" s="13">
        <v>25010026</v>
      </c>
      <c r="C2" s="13"/>
      <c r="D2" s="13"/>
      <c r="E2" s="13">
        <v>1</v>
      </c>
      <c r="F2" s="13" t="s">
        <v>91</v>
      </c>
      <c r="G2" s="13">
        <v>56</v>
      </c>
      <c r="H2" s="13">
        <v>56</v>
      </c>
      <c r="I2" s="13" t="s">
        <v>92</v>
      </c>
      <c r="J2" s="13" t="s">
        <v>93</v>
      </c>
      <c r="K2" s="13" t="s">
        <v>94</v>
      </c>
      <c r="L2" s="13">
        <v>900</v>
      </c>
      <c r="M2" s="13">
        <v>4</v>
      </c>
      <c r="N2" s="13">
        <v>0.24</v>
      </c>
      <c r="O2" s="13">
        <v>84</v>
      </c>
      <c r="P2" s="31">
        <v>1.78</v>
      </c>
      <c r="Q2" s="16">
        <v>26.5118040651433</v>
      </c>
      <c r="R2" s="13">
        <v>84</v>
      </c>
      <c r="S2" s="13" t="s">
        <v>95</v>
      </c>
      <c r="T2" s="13">
        <v>354</v>
      </c>
      <c r="U2" s="13">
        <v>5377</v>
      </c>
      <c r="V2" s="16">
        <v>5.00018597731077</v>
      </c>
      <c r="W2" s="86">
        <v>25568</v>
      </c>
      <c r="X2" s="13">
        <v>26886</v>
      </c>
      <c r="Y2" s="13">
        <v>1318</v>
      </c>
      <c r="Z2" s="13">
        <v>328</v>
      </c>
      <c r="AA2" s="13">
        <v>333.2</v>
      </c>
      <c r="AB2" s="13" t="s">
        <v>96</v>
      </c>
      <c r="AC2" s="13" t="s">
        <v>97</v>
      </c>
      <c r="AD2" s="13" t="s">
        <v>98</v>
      </c>
      <c r="AE2" s="13">
        <v>60</v>
      </c>
      <c r="AF2" s="13">
        <v>75</v>
      </c>
      <c r="AG2" s="13">
        <v>90</v>
      </c>
      <c r="AH2" s="13" t="s">
        <v>99</v>
      </c>
      <c r="AI2" s="13" t="s">
        <v>100</v>
      </c>
      <c r="AJ2" s="13" t="s">
        <v>101</v>
      </c>
      <c r="AK2" s="13" t="s">
        <v>102</v>
      </c>
      <c r="AL2" s="13" t="s">
        <v>102</v>
      </c>
      <c r="AM2" s="13" t="s">
        <v>100</v>
      </c>
      <c r="AN2" s="13" t="s">
        <v>101</v>
      </c>
      <c r="AO2" s="13" t="s">
        <v>102</v>
      </c>
      <c r="AP2" s="13" t="s">
        <v>102</v>
      </c>
      <c r="AQ2" s="13">
        <v>91.34</v>
      </c>
      <c r="AR2" s="13">
        <v>11.9</v>
      </c>
      <c r="AS2" s="16">
        <v>10.86946</v>
      </c>
      <c r="AT2" s="13">
        <v>33.8</v>
      </c>
      <c r="AU2" s="13">
        <v>222</v>
      </c>
      <c r="AV2" s="13">
        <v>281.14</v>
      </c>
      <c r="AW2" s="13">
        <v>98.8</v>
      </c>
      <c r="AX2" s="16">
        <v>277.76632</v>
      </c>
      <c r="AY2" s="31">
        <v>1.3</v>
      </c>
      <c r="AZ2" s="13">
        <v>0.16</v>
      </c>
      <c r="BA2" s="13">
        <v>2621</v>
      </c>
      <c r="BB2" s="13">
        <v>91.53</v>
      </c>
      <c r="BC2" s="13">
        <v>6.9</v>
      </c>
      <c r="BD2" s="16">
        <v>6.31557</v>
      </c>
      <c r="BE2" s="13">
        <v>34.4</v>
      </c>
      <c r="BF2" s="13">
        <v>106</v>
      </c>
      <c r="BG2" s="31">
        <v>4.3</v>
      </c>
      <c r="BH2" s="13">
        <v>38.3</v>
      </c>
      <c r="BI2" s="31">
        <v>1212.7</v>
      </c>
      <c r="BJ2" s="31">
        <v>404</v>
      </c>
      <c r="BK2" s="13">
        <v>4.8</v>
      </c>
      <c r="BL2" s="13">
        <v>280123</v>
      </c>
      <c r="BM2" s="31">
        <v>99.5</v>
      </c>
      <c r="BN2" s="13" t="s">
        <v>103</v>
      </c>
      <c r="BO2" s="16">
        <v>25.568</v>
      </c>
      <c r="BP2" s="16">
        <v>41.2558779414216</v>
      </c>
      <c r="BQ2" s="16">
        <v>99.9481727548829</v>
      </c>
      <c r="BR2" s="102">
        <v>52.2522522522522</v>
      </c>
      <c r="BS2" s="13" t="s">
        <v>102</v>
      </c>
      <c r="BT2" s="13" t="s">
        <v>105</v>
      </c>
      <c r="BU2" s="12">
        <v>45672</v>
      </c>
      <c r="BV2" s="13" t="s">
        <v>105</v>
      </c>
      <c r="BW2" s="31">
        <v>4.8</v>
      </c>
      <c r="BX2" s="13" t="s">
        <v>103</v>
      </c>
      <c r="BY2" s="13" t="s">
        <v>103</v>
      </c>
      <c r="BZ2" s="13" t="s">
        <v>103</v>
      </c>
    </row>
    <row r="3" spans="1:78">
      <c r="A3" s="12">
        <v>45671</v>
      </c>
      <c r="B3" s="13">
        <v>25010027</v>
      </c>
      <c r="C3" s="13"/>
      <c r="D3" s="13"/>
      <c r="E3" s="13">
        <v>1</v>
      </c>
      <c r="F3" s="13" t="s">
        <v>91</v>
      </c>
      <c r="G3" s="13">
        <v>29</v>
      </c>
      <c r="H3" s="13">
        <v>29</v>
      </c>
      <c r="I3" s="13" t="s">
        <v>92</v>
      </c>
      <c r="J3" s="13" t="s">
        <v>107</v>
      </c>
      <c r="K3" s="13" t="s">
        <v>94</v>
      </c>
      <c r="L3" s="13">
        <v>900</v>
      </c>
      <c r="M3" s="13">
        <v>4</v>
      </c>
      <c r="N3" s="13" t="s">
        <v>103</v>
      </c>
      <c r="O3" s="13">
        <v>90</v>
      </c>
      <c r="P3" s="31">
        <v>1.74</v>
      </c>
      <c r="Q3" s="16">
        <v>29.7265160523187</v>
      </c>
      <c r="R3" s="13">
        <v>90</v>
      </c>
      <c r="S3" s="13" t="s">
        <v>95</v>
      </c>
      <c r="T3" s="13">
        <v>331</v>
      </c>
      <c r="U3" s="13">
        <v>5434</v>
      </c>
      <c r="V3" s="16">
        <v>5.00018402649982</v>
      </c>
      <c r="W3" s="87">
        <v>25855</v>
      </c>
      <c r="X3" s="13">
        <v>27171</v>
      </c>
      <c r="Y3" s="13">
        <v>1316</v>
      </c>
      <c r="Z3" s="13">
        <v>318</v>
      </c>
      <c r="AA3" s="13">
        <v>324.9</v>
      </c>
      <c r="AB3" s="13" t="s">
        <v>96</v>
      </c>
      <c r="AC3" s="13" t="s">
        <v>108</v>
      </c>
      <c r="AD3" s="13" t="s">
        <v>98</v>
      </c>
      <c r="AE3" s="13">
        <v>80</v>
      </c>
      <c r="AF3" s="13">
        <v>85</v>
      </c>
      <c r="AG3" s="13">
        <v>90</v>
      </c>
      <c r="AH3" s="13" t="s">
        <v>109</v>
      </c>
      <c r="AI3" s="13" t="s">
        <v>100</v>
      </c>
      <c r="AJ3" s="13" t="s">
        <v>101</v>
      </c>
      <c r="AK3" s="13" t="s">
        <v>102</v>
      </c>
      <c r="AL3" s="13">
        <v>160.5</v>
      </c>
      <c r="AM3" s="13" t="s">
        <v>100</v>
      </c>
      <c r="AN3" s="13" t="s">
        <v>101</v>
      </c>
      <c r="AO3" s="13" t="s">
        <v>102</v>
      </c>
      <c r="AP3" s="13">
        <v>160.5</v>
      </c>
      <c r="AQ3" s="13">
        <v>40.16</v>
      </c>
      <c r="AR3" s="13">
        <v>17</v>
      </c>
      <c r="AS3" s="16">
        <v>6.8272</v>
      </c>
      <c r="AT3" s="13">
        <v>42.7</v>
      </c>
      <c r="AU3" s="13">
        <v>182</v>
      </c>
      <c r="AV3" s="13">
        <v>344.87</v>
      </c>
      <c r="AW3" s="13">
        <v>68</v>
      </c>
      <c r="AX3" s="16">
        <v>234.5116</v>
      </c>
      <c r="AY3" s="31">
        <v>2.5</v>
      </c>
      <c r="AZ3" s="13">
        <v>0.19</v>
      </c>
      <c r="BA3" s="13">
        <v>1880</v>
      </c>
      <c r="BB3" s="13">
        <v>48.78</v>
      </c>
      <c r="BC3" s="13">
        <v>8.1</v>
      </c>
      <c r="BD3" s="16">
        <v>3.95118</v>
      </c>
      <c r="BE3" s="13">
        <v>42.3</v>
      </c>
      <c r="BF3" s="13">
        <v>82</v>
      </c>
      <c r="BG3" s="31">
        <v>21</v>
      </c>
      <c r="BH3" s="13">
        <v>32.1</v>
      </c>
      <c r="BI3" s="31">
        <v>1034.6</v>
      </c>
      <c r="BJ3" s="31">
        <v>336.1</v>
      </c>
      <c r="BK3" s="13">
        <v>3.7</v>
      </c>
      <c r="BL3" s="13">
        <v>356122</v>
      </c>
      <c r="BM3" s="31">
        <v>99.4</v>
      </c>
      <c r="BN3" s="13" t="s">
        <v>103</v>
      </c>
      <c r="BO3" s="16">
        <v>25.855</v>
      </c>
      <c r="BP3" s="16">
        <v>40.4966350200104</v>
      </c>
      <c r="BQ3" s="16">
        <v>132.854773133342</v>
      </c>
      <c r="BR3" s="102">
        <v>54.9450549450549</v>
      </c>
      <c r="BS3" s="13" t="s">
        <v>102</v>
      </c>
      <c r="BT3" s="13" t="s">
        <v>105</v>
      </c>
      <c r="BU3" s="12">
        <v>45673</v>
      </c>
      <c r="BV3" s="13" t="s">
        <v>105</v>
      </c>
      <c r="BW3" s="31">
        <v>3.7</v>
      </c>
      <c r="BX3" s="13" t="s">
        <v>103</v>
      </c>
      <c r="BY3" s="13" t="s">
        <v>103</v>
      </c>
      <c r="BZ3" s="13" t="s">
        <v>103</v>
      </c>
    </row>
    <row r="4" spans="1:78">
      <c r="A4" s="12">
        <v>45672</v>
      </c>
      <c r="B4" s="13">
        <v>25010030</v>
      </c>
      <c r="C4" s="13"/>
      <c r="D4" s="13"/>
      <c r="E4" s="13">
        <v>1</v>
      </c>
      <c r="F4" s="13" t="s">
        <v>91</v>
      </c>
      <c r="G4" s="13">
        <v>66</v>
      </c>
      <c r="H4" s="13">
        <v>66</v>
      </c>
      <c r="I4" s="13" t="s">
        <v>92</v>
      </c>
      <c r="J4" s="13" t="s">
        <v>93</v>
      </c>
      <c r="K4" s="13" t="s">
        <v>94</v>
      </c>
      <c r="L4" s="13">
        <v>600</v>
      </c>
      <c r="M4" s="13">
        <v>4</v>
      </c>
      <c r="N4" s="13">
        <v>0.24</v>
      </c>
      <c r="O4" s="13">
        <v>68</v>
      </c>
      <c r="P4" s="31">
        <v>1.64</v>
      </c>
      <c r="Q4" s="16">
        <v>25.2825698988697</v>
      </c>
      <c r="R4" s="13">
        <v>68</v>
      </c>
      <c r="S4" s="13" t="s">
        <v>95</v>
      </c>
      <c r="T4" s="13">
        <v>283</v>
      </c>
      <c r="U4" s="13">
        <v>4411</v>
      </c>
      <c r="V4" s="16">
        <v>5.00022670596237</v>
      </c>
      <c r="W4" s="87">
        <v>20907</v>
      </c>
      <c r="X4" s="13">
        <v>22056</v>
      </c>
      <c r="Y4" s="13">
        <v>1149</v>
      </c>
      <c r="Z4" s="13">
        <v>264</v>
      </c>
      <c r="AA4" s="13">
        <v>263.8</v>
      </c>
      <c r="AB4" s="13" t="s">
        <v>96</v>
      </c>
      <c r="AC4" s="13" t="s">
        <v>108</v>
      </c>
      <c r="AD4" s="13" t="s">
        <v>98</v>
      </c>
      <c r="AE4" s="13">
        <v>79</v>
      </c>
      <c r="AF4" s="13">
        <v>82.5</v>
      </c>
      <c r="AG4" s="13">
        <v>85</v>
      </c>
      <c r="AH4" s="13" t="s">
        <v>99</v>
      </c>
      <c r="AI4" s="13" t="s">
        <v>110</v>
      </c>
      <c r="AJ4" s="13" t="s">
        <v>101</v>
      </c>
      <c r="AK4" s="13" t="s">
        <v>102</v>
      </c>
      <c r="AL4" s="13" t="s">
        <v>102</v>
      </c>
      <c r="AM4" s="13" t="s">
        <v>110</v>
      </c>
      <c r="AN4" s="13" t="s">
        <v>101</v>
      </c>
      <c r="AO4" s="13" t="s">
        <v>102</v>
      </c>
      <c r="AP4" s="13" t="s">
        <v>102</v>
      </c>
      <c r="AQ4" s="13">
        <v>62.09</v>
      </c>
      <c r="AR4" s="13">
        <v>17.4</v>
      </c>
      <c r="AS4" s="16">
        <v>10.80366</v>
      </c>
      <c r="AT4" s="13">
        <v>25.1</v>
      </c>
      <c r="AU4" s="13">
        <v>292</v>
      </c>
      <c r="AV4" s="13">
        <v>941.3</v>
      </c>
      <c r="AW4" s="13">
        <v>29.7</v>
      </c>
      <c r="AX4" s="16">
        <v>279.5661</v>
      </c>
      <c r="AY4" s="31">
        <v>0.3</v>
      </c>
      <c r="AZ4" s="13">
        <v>0.03</v>
      </c>
      <c r="BA4" s="13">
        <v>1260</v>
      </c>
      <c r="BB4" s="13">
        <v>35.23</v>
      </c>
      <c r="BC4" s="13">
        <v>13.1</v>
      </c>
      <c r="BD4" s="16">
        <v>4.61513</v>
      </c>
      <c r="BE4" s="13">
        <v>23.5</v>
      </c>
      <c r="BF4" s="13">
        <v>214</v>
      </c>
      <c r="BG4" s="31">
        <v>15</v>
      </c>
      <c r="BH4" s="13">
        <v>82.8</v>
      </c>
      <c r="BI4" s="31">
        <v>2130.4</v>
      </c>
      <c r="BJ4" s="31">
        <v>561.9</v>
      </c>
      <c r="BK4" s="13">
        <v>8.2</v>
      </c>
      <c r="BL4" s="13">
        <v>931511</v>
      </c>
      <c r="BM4" s="31">
        <v>98.6</v>
      </c>
      <c r="BN4" s="13" t="s">
        <v>103</v>
      </c>
      <c r="BO4" s="16">
        <v>20.907</v>
      </c>
      <c r="BP4" s="16">
        <v>32.459137533161</v>
      </c>
      <c r="BQ4" s="16">
        <v>123.771849518362</v>
      </c>
      <c r="BR4" s="102">
        <v>26.7123287671233</v>
      </c>
      <c r="BS4" s="103"/>
      <c r="BT4" s="13" t="s">
        <v>105</v>
      </c>
      <c r="BU4" s="12">
        <v>45673</v>
      </c>
      <c r="BV4" s="13" t="s">
        <v>105</v>
      </c>
      <c r="BW4" s="31">
        <v>8.2</v>
      </c>
      <c r="BX4" s="13" t="s">
        <v>103</v>
      </c>
      <c r="BY4" s="13" t="s">
        <v>103</v>
      </c>
      <c r="BZ4" s="13" t="s">
        <v>103</v>
      </c>
    </row>
    <row r="5" spans="1:78">
      <c r="A5" s="12">
        <v>45673</v>
      </c>
      <c r="B5" s="13">
        <v>25010039</v>
      </c>
      <c r="C5" s="13"/>
      <c r="D5" s="13"/>
      <c r="E5" s="13">
        <v>1</v>
      </c>
      <c r="F5" s="13" t="s">
        <v>111</v>
      </c>
      <c r="G5" s="13">
        <v>30</v>
      </c>
      <c r="H5" s="13">
        <v>30</v>
      </c>
      <c r="I5" s="13" t="s">
        <v>92</v>
      </c>
      <c r="J5" s="13" t="s">
        <v>112</v>
      </c>
      <c r="K5" s="13" t="s">
        <v>94</v>
      </c>
      <c r="L5" s="13">
        <v>600</v>
      </c>
      <c r="M5" s="13">
        <v>4</v>
      </c>
      <c r="N5" s="13" t="s">
        <v>103</v>
      </c>
      <c r="O5" s="13">
        <v>60.9</v>
      </c>
      <c r="P5" s="31">
        <v>1.44</v>
      </c>
      <c r="Q5" s="16">
        <v>29.369212962963</v>
      </c>
      <c r="R5" s="13">
        <v>60.9</v>
      </c>
      <c r="S5" s="13" t="s">
        <v>95</v>
      </c>
      <c r="T5" s="13">
        <v>230</v>
      </c>
      <c r="U5" s="13">
        <v>3264</v>
      </c>
      <c r="V5" s="16">
        <v>5.00030637254902</v>
      </c>
      <c r="W5" s="87">
        <v>15484</v>
      </c>
      <c r="X5" s="13">
        <v>16321</v>
      </c>
      <c r="Y5" s="13">
        <v>837</v>
      </c>
      <c r="Z5" s="13">
        <v>185</v>
      </c>
      <c r="AA5" s="13">
        <v>180</v>
      </c>
      <c r="AB5" s="13" t="s">
        <v>96</v>
      </c>
      <c r="AC5" s="13" t="s">
        <v>108</v>
      </c>
      <c r="AD5" s="13" t="s">
        <v>98</v>
      </c>
      <c r="AE5" s="13">
        <v>60</v>
      </c>
      <c r="AF5" s="13">
        <v>70</v>
      </c>
      <c r="AG5" s="13">
        <v>80</v>
      </c>
      <c r="AH5" s="13" t="s">
        <v>109</v>
      </c>
      <c r="AI5" s="13" t="s">
        <v>100</v>
      </c>
      <c r="AJ5" s="13" t="s">
        <v>101</v>
      </c>
      <c r="AK5" s="13" t="s">
        <v>102</v>
      </c>
      <c r="AL5" s="13" t="s">
        <v>113</v>
      </c>
      <c r="AM5" s="13" t="s">
        <v>100</v>
      </c>
      <c r="AN5" s="13" t="s">
        <v>101</v>
      </c>
      <c r="AO5" s="13" t="s">
        <v>102</v>
      </c>
      <c r="AP5" s="13" t="s">
        <v>113</v>
      </c>
      <c r="AQ5" s="13">
        <v>47.27</v>
      </c>
      <c r="AR5" s="13">
        <v>14</v>
      </c>
      <c r="AS5" s="16">
        <v>6.6178</v>
      </c>
      <c r="AT5" s="13">
        <v>36.3</v>
      </c>
      <c r="AU5" s="13">
        <v>154</v>
      </c>
      <c r="AV5" s="13">
        <v>289.96</v>
      </c>
      <c r="AW5" s="13">
        <v>72.1</v>
      </c>
      <c r="AX5" s="16">
        <v>209.06116</v>
      </c>
      <c r="AY5" s="31">
        <v>2.2</v>
      </c>
      <c r="AZ5" s="13">
        <v>0.18</v>
      </c>
      <c r="BA5" s="13">
        <v>1574</v>
      </c>
      <c r="BB5" s="13">
        <v>36.67</v>
      </c>
      <c r="BC5" s="13">
        <v>8.6</v>
      </c>
      <c r="BD5" s="16">
        <v>3.15362</v>
      </c>
      <c r="BE5" s="13">
        <v>35.6</v>
      </c>
      <c r="BF5" s="13">
        <v>75</v>
      </c>
      <c r="BG5" s="31">
        <v>37.7</v>
      </c>
      <c r="BH5" s="13">
        <v>37.8</v>
      </c>
      <c r="BI5" s="31">
        <v>1393.2</v>
      </c>
      <c r="BJ5" s="31">
        <v>250.7</v>
      </c>
      <c r="BK5" s="13">
        <v>4.1</v>
      </c>
      <c r="BL5" s="13">
        <v>299608</v>
      </c>
      <c r="BM5" s="31">
        <v>98.8</v>
      </c>
      <c r="BN5" s="13" t="s">
        <v>103</v>
      </c>
      <c r="BO5" s="16">
        <v>15.484</v>
      </c>
      <c r="BP5" s="16">
        <v>42.8330866202217</v>
      </c>
      <c r="BQ5" s="16">
        <v>204.02179075699</v>
      </c>
      <c r="BR5" s="102">
        <v>51.2987012987013</v>
      </c>
      <c r="BS5" s="13" t="s">
        <v>102</v>
      </c>
      <c r="BT5" s="13" t="s">
        <v>105</v>
      </c>
      <c r="BU5" s="12">
        <v>45675</v>
      </c>
      <c r="BV5" s="13" t="s">
        <v>105</v>
      </c>
      <c r="BW5" s="31">
        <v>4.1</v>
      </c>
      <c r="BX5" s="13" t="s">
        <v>103</v>
      </c>
      <c r="BY5" s="13" t="s">
        <v>103</v>
      </c>
      <c r="BZ5" s="13" t="s">
        <v>103</v>
      </c>
    </row>
    <row r="6" spans="1:78">
      <c r="A6" s="12">
        <v>45673</v>
      </c>
      <c r="B6" s="13">
        <v>25010040</v>
      </c>
      <c r="C6" s="13"/>
      <c r="D6" s="13"/>
      <c r="E6" s="13">
        <v>1</v>
      </c>
      <c r="F6" s="13" t="s">
        <v>111</v>
      </c>
      <c r="G6" s="13">
        <v>16</v>
      </c>
      <c r="H6" s="13">
        <v>16</v>
      </c>
      <c r="I6" s="13" t="s">
        <v>92</v>
      </c>
      <c r="J6" s="13" t="s">
        <v>115</v>
      </c>
      <c r="K6" s="13" t="s">
        <v>116</v>
      </c>
      <c r="L6" s="13">
        <v>600</v>
      </c>
      <c r="M6" s="13">
        <v>5</v>
      </c>
      <c r="N6" s="13" t="s">
        <v>103</v>
      </c>
      <c r="O6" s="13">
        <v>58</v>
      </c>
      <c r="P6" s="31">
        <v>1.58</v>
      </c>
      <c r="Q6" s="16">
        <v>23.2334561768947</v>
      </c>
      <c r="R6" s="13">
        <v>58</v>
      </c>
      <c r="S6" s="13" t="s">
        <v>95</v>
      </c>
      <c r="T6" s="13">
        <v>144</v>
      </c>
      <c r="U6" s="13">
        <v>3507</v>
      </c>
      <c r="V6" s="16">
        <v>3.00028514399772</v>
      </c>
      <c r="W6" s="87">
        <v>9993</v>
      </c>
      <c r="X6" s="13">
        <v>10522</v>
      </c>
      <c r="Y6" s="13">
        <v>529</v>
      </c>
      <c r="Z6" s="13">
        <v>117</v>
      </c>
      <c r="AA6" s="13">
        <v>115.2</v>
      </c>
      <c r="AB6" s="13" t="s">
        <v>96</v>
      </c>
      <c r="AC6" s="13" t="s">
        <v>97</v>
      </c>
      <c r="AD6" s="13" t="s">
        <v>98</v>
      </c>
      <c r="AE6" s="13">
        <v>80</v>
      </c>
      <c r="AF6" s="13">
        <v>80</v>
      </c>
      <c r="AG6" s="13">
        <v>80</v>
      </c>
      <c r="AH6" s="13" t="s">
        <v>109</v>
      </c>
      <c r="AI6" s="13" t="s">
        <v>100</v>
      </c>
      <c r="AJ6" s="13" t="s">
        <v>101</v>
      </c>
      <c r="AK6" s="13" t="s">
        <v>102</v>
      </c>
      <c r="AL6" s="13" t="s">
        <v>102</v>
      </c>
      <c r="AM6" s="13" t="s">
        <v>100</v>
      </c>
      <c r="AN6" s="13" t="s">
        <v>101</v>
      </c>
      <c r="AO6" s="13" t="s">
        <v>102</v>
      </c>
      <c r="AP6" s="13" t="s">
        <v>102</v>
      </c>
      <c r="AQ6" s="13">
        <v>2.56</v>
      </c>
      <c r="AR6" s="13">
        <v>40.2</v>
      </c>
      <c r="AS6" s="16">
        <v>1.02912</v>
      </c>
      <c r="AT6" s="13">
        <v>34.6</v>
      </c>
      <c r="AU6" s="13">
        <v>41</v>
      </c>
      <c r="AV6" s="13">
        <v>165.79</v>
      </c>
      <c r="AW6" s="13">
        <v>42.6</v>
      </c>
      <c r="AX6" s="16">
        <v>70.62654</v>
      </c>
      <c r="AY6" s="31">
        <v>2.1</v>
      </c>
      <c r="AZ6" s="13">
        <v>0.21</v>
      </c>
      <c r="BA6" s="13">
        <v>556</v>
      </c>
      <c r="BB6" s="13">
        <v>3.95</v>
      </c>
      <c r="BC6" s="13">
        <v>27.1</v>
      </c>
      <c r="BD6" s="16">
        <v>1.07045</v>
      </c>
      <c r="BE6" s="13">
        <v>30.4</v>
      </c>
      <c r="BF6" s="13">
        <v>33</v>
      </c>
      <c r="BG6" s="31" t="s">
        <v>103</v>
      </c>
      <c r="BH6" s="13">
        <v>30.6</v>
      </c>
      <c r="BI6" s="31">
        <v>3916.9</v>
      </c>
      <c r="BJ6" s="31">
        <v>451.2</v>
      </c>
      <c r="BK6" s="13">
        <v>7.7</v>
      </c>
      <c r="BL6" s="13">
        <v>187903</v>
      </c>
      <c r="BM6" s="31">
        <v>99.3</v>
      </c>
      <c r="BN6" s="13" t="s">
        <v>103</v>
      </c>
      <c r="BO6" s="16">
        <v>9.993</v>
      </c>
      <c r="BP6" s="16">
        <v>147.554268380023</v>
      </c>
      <c r="BQ6" s="16">
        <v>686.761633329898</v>
      </c>
      <c r="BR6" s="102">
        <v>19.5121951219512</v>
      </c>
      <c r="BS6" s="13" t="s">
        <v>102</v>
      </c>
      <c r="BT6" s="13" t="s">
        <v>105</v>
      </c>
      <c r="BU6" s="12">
        <v>45677</v>
      </c>
      <c r="BV6" s="13" t="s">
        <v>105</v>
      </c>
      <c r="BW6" s="31">
        <v>7.7</v>
      </c>
      <c r="BX6" s="13" t="s">
        <v>103</v>
      </c>
      <c r="BY6" s="13" t="s">
        <v>103</v>
      </c>
      <c r="BZ6" s="13" t="s">
        <v>103</v>
      </c>
    </row>
    <row r="7" spans="1:78">
      <c r="A7" s="12">
        <v>45694</v>
      </c>
      <c r="B7" s="13">
        <v>25020006</v>
      </c>
      <c r="C7" s="13"/>
      <c r="D7" s="13"/>
      <c r="E7" s="13">
        <v>1</v>
      </c>
      <c r="F7" s="13" t="s">
        <v>91</v>
      </c>
      <c r="G7" s="13">
        <v>20</v>
      </c>
      <c r="H7" s="13">
        <v>20</v>
      </c>
      <c r="I7" s="13" t="s">
        <v>92</v>
      </c>
      <c r="J7" s="13" t="s">
        <v>115</v>
      </c>
      <c r="K7" s="13" t="s">
        <v>94</v>
      </c>
      <c r="L7" s="13">
        <v>900</v>
      </c>
      <c r="M7" s="13">
        <v>4</v>
      </c>
      <c r="N7" s="13" t="s">
        <v>103</v>
      </c>
      <c r="O7" s="13">
        <v>94</v>
      </c>
      <c r="P7" s="31">
        <v>1.76</v>
      </c>
      <c r="Q7" s="16">
        <v>30.3460743801653</v>
      </c>
      <c r="R7" s="13">
        <v>94</v>
      </c>
      <c r="S7" s="13" t="s">
        <v>95</v>
      </c>
      <c r="T7" s="13">
        <v>164</v>
      </c>
      <c r="U7" s="13">
        <v>5630</v>
      </c>
      <c r="V7" s="16">
        <v>2.20017761989343</v>
      </c>
      <c r="W7" s="87">
        <v>11761</v>
      </c>
      <c r="X7" s="13">
        <v>12387</v>
      </c>
      <c r="Y7" s="13">
        <v>626</v>
      </c>
      <c r="Z7" s="13">
        <v>120</v>
      </c>
      <c r="AA7" s="13">
        <v>119.9</v>
      </c>
      <c r="AB7" s="13" t="s">
        <v>96</v>
      </c>
      <c r="AC7" s="13" t="s">
        <v>108</v>
      </c>
      <c r="AD7" s="13" t="s">
        <v>98</v>
      </c>
      <c r="AE7" s="13">
        <v>80</v>
      </c>
      <c r="AF7" s="13">
        <v>80</v>
      </c>
      <c r="AG7" s="13">
        <v>80</v>
      </c>
      <c r="AH7" s="13" t="s">
        <v>99</v>
      </c>
      <c r="AI7" s="13" t="s">
        <v>100</v>
      </c>
      <c r="AJ7" s="13" t="s">
        <v>101</v>
      </c>
      <c r="AK7" s="13" t="s">
        <v>102</v>
      </c>
      <c r="AL7" s="13">
        <v>67.7</v>
      </c>
      <c r="AM7" s="13" t="s">
        <v>100</v>
      </c>
      <c r="AN7" s="13" t="s">
        <v>101</v>
      </c>
      <c r="AO7" s="13" t="s">
        <v>102</v>
      </c>
      <c r="AP7" s="13">
        <v>67.7</v>
      </c>
      <c r="AQ7" s="13">
        <v>7.43</v>
      </c>
      <c r="AR7" s="13">
        <v>34.1</v>
      </c>
      <c r="AS7" s="16">
        <v>2.53363</v>
      </c>
      <c r="AT7" s="13">
        <v>39.7</v>
      </c>
      <c r="AU7" s="13">
        <v>125</v>
      </c>
      <c r="AV7" s="13">
        <v>208.9</v>
      </c>
      <c r="AW7" s="13">
        <v>59.5</v>
      </c>
      <c r="AX7" s="16">
        <v>124.2955</v>
      </c>
      <c r="AY7" s="31">
        <v>2.2</v>
      </c>
      <c r="AZ7" s="13">
        <v>0.17</v>
      </c>
      <c r="BA7" s="13">
        <v>1093</v>
      </c>
      <c r="BB7" s="13">
        <v>7.54</v>
      </c>
      <c r="BC7" s="13">
        <v>26.7</v>
      </c>
      <c r="BD7" s="16">
        <v>2.01318</v>
      </c>
      <c r="BE7" s="13">
        <v>34.8</v>
      </c>
      <c r="BF7" s="13">
        <v>90</v>
      </c>
      <c r="BG7" s="31" t="s">
        <v>103</v>
      </c>
      <c r="BH7" s="13">
        <v>119.4</v>
      </c>
      <c r="BI7" s="31">
        <v>7550.2</v>
      </c>
      <c r="BJ7" s="31">
        <v>905.2</v>
      </c>
      <c r="BK7" s="13">
        <v>9.6</v>
      </c>
      <c r="BL7" s="13">
        <v>209046</v>
      </c>
      <c r="BM7" s="31">
        <v>98.3</v>
      </c>
      <c r="BN7" s="13" t="s">
        <v>103</v>
      </c>
      <c r="BO7" s="16">
        <v>11.761</v>
      </c>
      <c r="BP7" s="16">
        <v>64.4608411783715</v>
      </c>
      <c r="BQ7" s="16">
        <v>417.126674402601</v>
      </c>
      <c r="BR7" s="102">
        <v>28</v>
      </c>
      <c r="BS7" s="103" t="s">
        <v>102</v>
      </c>
      <c r="BT7" s="13" t="s">
        <v>105</v>
      </c>
      <c r="BU7" s="12">
        <v>45698</v>
      </c>
      <c r="BV7" s="13" t="s">
        <v>105</v>
      </c>
      <c r="BW7" s="31">
        <v>9.6</v>
      </c>
      <c r="BX7" s="13" t="s">
        <v>103</v>
      </c>
      <c r="BY7" s="13" t="s">
        <v>103</v>
      </c>
      <c r="BZ7" s="13" t="s">
        <v>103</v>
      </c>
    </row>
    <row r="8" spans="1:78">
      <c r="A8" s="12">
        <v>45713</v>
      </c>
      <c r="B8" s="13">
        <v>25020036</v>
      </c>
      <c r="C8" s="13"/>
      <c r="D8" s="13"/>
      <c r="E8" s="13">
        <v>1</v>
      </c>
      <c r="F8" s="13" t="s">
        <v>91</v>
      </c>
      <c r="G8" s="13">
        <v>35</v>
      </c>
      <c r="H8" s="13">
        <v>35</v>
      </c>
      <c r="I8" s="13" t="s">
        <v>92</v>
      </c>
      <c r="J8" s="13" t="s">
        <v>107</v>
      </c>
      <c r="K8" s="13" t="s">
        <v>94</v>
      </c>
      <c r="L8" s="13">
        <v>600</v>
      </c>
      <c r="M8" s="13">
        <v>4</v>
      </c>
      <c r="N8" s="13">
        <v>0.24</v>
      </c>
      <c r="O8" s="13">
        <v>70</v>
      </c>
      <c r="P8" s="31">
        <v>1.71</v>
      </c>
      <c r="Q8" s="16">
        <v>23.9389897746315</v>
      </c>
      <c r="R8" s="13">
        <v>70</v>
      </c>
      <c r="S8" s="13" t="s">
        <v>95</v>
      </c>
      <c r="T8" s="13">
        <v>309</v>
      </c>
      <c r="U8" s="13">
        <v>4692</v>
      </c>
      <c r="V8" s="16">
        <v>5.00021312872975</v>
      </c>
      <c r="W8" s="87">
        <v>22320</v>
      </c>
      <c r="X8" s="13">
        <v>23461</v>
      </c>
      <c r="Y8" s="13">
        <v>1141</v>
      </c>
      <c r="Z8" s="13">
        <v>298</v>
      </c>
      <c r="AA8" s="13">
        <v>295.7</v>
      </c>
      <c r="AB8" s="13" t="s">
        <v>96</v>
      </c>
      <c r="AC8" s="13" t="s">
        <v>108</v>
      </c>
      <c r="AD8" s="13" t="s">
        <v>98</v>
      </c>
      <c r="AE8" s="13">
        <v>80</v>
      </c>
      <c r="AF8" s="13">
        <v>80</v>
      </c>
      <c r="AG8" s="13">
        <v>80</v>
      </c>
      <c r="AH8" s="13" t="s">
        <v>109</v>
      </c>
      <c r="AI8" s="13" t="s">
        <v>100</v>
      </c>
      <c r="AJ8" s="13" t="s">
        <v>101</v>
      </c>
      <c r="AK8" s="13" t="s">
        <v>102</v>
      </c>
      <c r="AL8" s="13">
        <v>225.8</v>
      </c>
      <c r="AM8" s="13" t="s">
        <v>100</v>
      </c>
      <c r="AN8" s="13" t="s">
        <v>101</v>
      </c>
      <c r="AO8" s="13" t="s">
        <v>102</v>
      </c>
      <c r="AP8" s="13">
        <v>225.8</v>
      </c>
      <c r="AQ8" s="13">
        <v>50.02</v>
      </c>
      <c r="AR8" s="13">
        <v>18.4</v>
      </c>
      <c r="AS8" s="16">
        <v>9.20368</v>
      </c>
      <c r="AT8" s="13">
        <v>44.9</v>
      </c>
      <c r="AU8" s="13">
        <v>168</v>
      </c>
      <c r="AV8" s="13">
        <v>387.94</v>
      </c>
      <c r="AW8" s="13">
        <v>64.8</v>
      </c>
      <c r="AX8" s="16">
        <v>251.38512</v>
      </c>
      <c r="AY8" s="31">
        <v>1.5</v>
      </c>
      <c r="AZ8" s="13">
        <v>0.16</v>
      </c>
      <c r="BA8" s="13">
        <v>1496</v>
      </c>
      <c r="BB8" s="13">
        <v>40.39</v>
      </c>
      <c r="BC8" s="13">
        <v>8.4</v>
      </c>
      <c r="BD8" s="16">
        <v>3.39276</v>
      </c>
      <c r="BE8" s="13">
        <v>45.6</v>
      </c>
      <c r="BF8" s="13">
        <v>57</v>
      </c>
      <c r="BG8" s="97"/>
      <c r="BH8" s="13">
        <v>35.5</v>
      </c>
      <c r="BI8" s="31">
        <v>1202.5</v>
      </c>
      <c r="BJ8" s="31">
        <v>355.5</v>
      </c>
      <c r="BK8" s="13">
        <v>5</v>
      </c>
      <c r="BL8" s="13">
        <v>381446</v>
      </c>
      <c r="BM8" s="31">
        <v>99.5</v>
      </c>
      <c r="BN8" s="13" t="s">
        <v>103</v>
      </c>
      <c r="BO8" s="16">
        <v>22.32</v>
      </c>
      <c r="BP8" s="16">
        <v>44.8659700136302</v>
      </c>
      <c r="BQ8" s="16">
        <v>122.372509621677</v>
      </c>
      <c r="BR8" s="102">
        <v>66.0714285714286</v>
      </c>
      <c r="BS8" s="103"/>
      <c r="BT8" s="13" t="s">
        <v>105</v>
      </c>
      <c r="BU8" s="12">
        <v>45715</v>
      </c>
      <c r="BV8" s="13" t="s">
        <v>105</v>
      </c>
      <c r="BW8" s="31">
        <v>5</v>
      </c>
      <c r="BX8" s="13" t="s">
        <v>103</v>
      </c>
      <c r="BY8" s="13" t="s">
        <v>103</v>
      </c>
      <c r="BZ8" s="13" t="s">
        <v>103</v>
      </c>
    </row>
    <row r="9" spans="1:78">
      <c r="A9" s="12">
        <v>45720</v>
      </c>
      <c r="B9" s="13">
        <v>25030002</v>
      </c>
      <c r="C9" s="13"/>
      <c r="D9" s="13"/>
      <c r="E9" s="13">
        <v>1</v>
      </c>
      <c r="F9" s="13" t="s">
        <v>91</v>
      </c>
      <c r="G9" s="13">
        <v>63</v>
      </c>
      <c r="H9" s="13">
        <v>63</v>
      </c>
      <c r="I9" s="13" t="s">
        <v>92</v>
      </c>
      <c r="J9" s="13" t="s">
        <v>93</v>
      </c>
      <c r="K9" s="13" t="s">
        <v>94</v>
      </c>
      <c r="L9" s="13">
        <v>600</v>
      </c>
      <c r="M9" s="13">
        <v>4</v>
      </c>
      <c r="N9" s="13">
        <v>0.24</v>
      </c>
      <c r="O9" s="13">
        <v>68</v>
      </c>
      <c r="P9" s="31">
        <v>1.56</v>
      </c>
      <c r="Q9" s="16">
        <v>27.9421433267587</v>
      </c>
      <c r="R9" s="13">
        <v>68</v>
      </c>
      <c r="S9" s="13" t="s">
        <v>95</v>
      </c>
      <c r="T9" s="13">
        <v>203</v>
      </c>
      <c r="U9" s="13">
        <v>3785</v>
      </c>
      <c r="V9" s="16">
        <v>4.0002642007926</v>
      </c>
      <c r="W9" s="87">
        <v>14394</v>
      </c>
      <c r="X9" s="13">
        <v>15141</v>
      </c>
      <c r="Y9" s="13">
        <v>747</v>
      </c>
      <c r="Z9" s="13">
        <v>185</v>
      </c>
      <c r="AA9" s="13">
        <v>178.9</v>
      </c>
      <c r="AB9" s="13" t="s">
        <v>96</v>
      </c>
      <c r="AC9" s="13" t="s">
        <v>97</v>
      </c>
      <c r="AD9" s="13" t="s">
        <v>98</v>
      </c>
      <c r="AE9" s="13">
        <v>80</v>
      </c>
      <c r="AF9" s="13">
        <v>80</v>
      </c>
      <c r="AG9" s="13">
        <v>80</v>
      </c>
      <c r="AH9" s="13" t="s">
        <v>131</v>
      </c>
      <c r="AI9" s="13" t="s">
        <v>100</v>
      </c>
      <c r="AJ9" s="13" t="s">
        <v>101</v>
      </c>
      <c r="AK9" s="13" t="s">
        <v>102</v>
      </c>
      <c r="AL9" s="13">
        <v>185.3</v>
      </c>
      <c r="AM9" s="13" t="s">
        <v>100</v>
      </c>
      <c r="AN9" s="13" t="s">
        <v>101</v>
      </c>
      <c r="AO9" s="13" t="s">
        <v>102</v>
      </c>
      <c r="AP9" s="13">
        <v>185.3</v>
      </c>
      <c r="AQ9" s="13">
        <v>73.6</v>
      </c>
      <c r="AR9" s="13">
        <v>21.7</v>
      </c>
      <c r="AS9" s="16">
        <v>15.9712</v>
      </c>
      <c r="AT9" s="13">
        <v>39.1</v>
      </c>
      <c r="AU9" s="13">
        <v>222</v>
      </c>
      <c r="AV9" s="13">
        <v>631.6</v>
      </c>
      <c r="AW9" s="13">
        <v>73.1</v>
      </c>
      <c r="AX9" s="16">
        <v>461.6996</v>
      </c>
      <c r="AY9" s="31">
        <v>0.4</v>
      </c>
      <c r="AZ9" s="13">
        <v>0.03</v>
      </c>
      <c r="BA9" s="13">
        <v>2500</v>
      </c>
      <c r="BB9" s="13">
        <v>62.01</v>
      </c>
      <c r="BC9" s="13">
        <v>9.7</v>
      </c>
      <c r="BD9" s="16">
        <v>6.01497</v>
      </c>
      <c r="BE9" s="13">
        <v>39</v>
      </c>
      <c r="BF9" s="13">
        <v>100</v>
      </c>
      <c r="BG9" s="31"/>
      <c r="BH9" s="13">
        <v>86.3</v>
      </c>
      <c r="BI9" s="31">
        <v>2576.1</v>
      </c>
      <c r="BJ9" s="31">
        <v>460.8</v>
      </c>
      <c r="BK9" s="13">
        <v>6.7</v>
      </c>
      <c r="BL9" s="13">
        <v>596360</v>
      </c>
      <c r="BM9" s="31">
        <v>99.2</v>
      </c>
      <c r="BN9" s="13" t="s">
        <v>103</v>
      </c>
      <c r="BO9" s="16">
        <v>14.394</v>
      </c>
      <c r="BP9" s="16">
        <v>37.0954100709208</v>
      </c>
      <c r="BQ9" s="16">
        <v>200.835486089773</v>
      </c>
      <c r="BR9" s="102">
        <v>54.9549549549549</v>
      </c>
      <c r="BS9" s="103"/>
      <c r="BT9" s="13" t="s">
        <v>105</v>
      </c>
      <c r="BU9" s="12">
        <v>45721</v>
      </c>
      <c r="BV9" s="13" t="s">
        <v>105</v>
      </c>
      <c r="BW9" s="31">
        <v>6.7</v>
      </c>
      <c r="BX9" s="13" t="s">
        <v>103</v>
      </c>
      <c r="BY9" s="13" t="s">
        <v>103</v>
      </c>
      <c r="BZ9" s="13" t="s">
        <v>103</v>
      </c>
    </row>
    <row r="10" spans="1:78">
      <c r="A10" s="12">
        <v>45720</v>
      </c>
      <c r="B10" s="13">
        <v>25030003</v>
      </c>
      <c r="C10" s="13"/>
      <c r="D10" s="13"/>
      <c r="E10" s="13">
        <v>1</v>
      </c>
      <c r="F10" s="13" t="s">
        <v>111</v>
      </c>
      <c r="G10" s="13">
        <v>8</v>
      </c>
      <c r="H10" s="13">
        <v>8</v>
      </c>
      <c r="I10" s="13" t="s">
        <v>92</v>
      </c>
      <c r="J10" s="13" t="s">
        <v>115</v>
      </c>
      <c r="K10" s="13" t="s">
        <v>132</v>
      </c>
      <c r="L10" s="13">
        <v>300</v>
      </c>
      <c r="M10" s="13">
        <v>7</v>
      </c>
      <c r="N10" s="13" t="s">
        <v>103</v>
      </c>
      <c r="O10" s="13">
        <v>33</v>
      </c>
      <c r="P10" s="31">
        <v>1.33</v>
      </c>
      <c r="Q10" s="16">
        <v>18.6556617106676</v>
      </c>
      <c r="R10" s="13">
        <v>33</v>
      </c>
      <c r="S10" s="13" t="s">
        <v>95</v>
      </c>
      <c r="T10" s="13">
        <v>181</v>
      </c>
      <c r="U10" s="13">
        <v>2113</v>
      </c>
      <c r="V10" s="16">
        <v>2.99763369616659</v>
      </c>
      <c r="W10" s="87">
        <v>5881</v>
      </c>
      <c r="X10" s="13">
        <v>6334</v>
      </c>
      <c r="Y10" s="13">
        <v>453</v>
      </c>
      <c r="Z10" s="13">
        <v>136</v>
      </c>
      <c r="AA10" s="13">
        <v>124.7</v>
      </c>
      <c r="AB10" s="13" t="s">
        <v>96</v>
      </c>
      <c r="AC10" s="13" t="s">
        <v>121</v>
      </c>
      <c r="AD10" s="13" t="s">
        <v>98</v>
      </c>
      <c r="AE10" s="13">
        <v>38.6</v>
      </c>
      <c r="AF10" s="13">
        <v>38.6</v>
      </c>
      <c r="AG10" s="13">
        <v>38.6</v>
      </c>
      <c r="AH10" s="13" t="s">
        <v>99</v>
      </c>
      <c r="AI10" s="13" t="s">
        <v>100</v>
      </c>
      <c r="AJ10" s="13" t="s">
        <v>101</v>
      </c>
      <c r="AK10" s="13" t="s">
        <v>102</v>
      </c>
      <c r="AL10" s="13" t="s">
        <v>102</v>
      </c>
      <c r="AM10" s="13" t="s">
        <v>100</v>
      </c>
      <c r="AN10" s="13" t="s">
        <v>101</v>
      </c>
      <c r="AO10" s="13" t="s">
        <v>102</v>
      </c>
      <c r="AP10" s="13" t="s">
        <v>102</v>
      </c>
      <c r="AQ10" s="13">
        <v>11.8</v>
      </c>
      <c r="AR10" s="13">
        <v>22.1</v>
      </c>
      <c r="AS10" s="16">
        <v>2.6078</v>
      </c>
      <c r="AT10" s="13">
        <v>34.1</v>
      </c>
      <c r="AU10" s="13">
        <v>45</v>
      </c>
      <c r="AV10" s="13">
        <v>156.24</v>
      </c>
      <c r="AW10" s="13">
        <v>32</v>
      </c>
      <c r="AX10" s="16">
        <v>49.9968</v>
      </c>
      <c r="AY10" s="31">
        <v>1.5</v>
      </c>
      <c r="AZ10" s="13">
        <v>0.17</v>
      </c>
      <c r="BA10" s="13">
        <v>255</v>
      </c>
      <c r="BB10" s="13">
        <v>12.26</v>
      </c>
      <c r="BC10" s="13">
        <v>16.1</v>
      </c>
      <c r="BD10" s="16">
        <v>1.97386</v>
      </c>
      <c r="BE10" s="13">
        <v>28.9</v>
      </c>
      <c r="BF10" s="13">
        <v>42</v>
      </c>
      <c r="BG10" s="31"/>
      <c r="BH10" s="13">
        <v>64.6</v>
      </c>
      <c r="BI10" s="31">
        <v>1746.9</v>
      </c>
      <c r="BJ10" s="31">
        <v>217.8</v>
      </c>
      <c r="BK10" s="13">
        <v>6.6</v>
      </c>
      <c r="BL10" s="13">
        <v>154163</v>
      </c>
      <c r="BM10" s="31">
        <v>99</v>
      </c>
      <c r="BN10" s="13" t="s">
        <v>103</v>
      </c>
      <c r="BO10" s="16">
        <v>5.881</v>
      </c>
      <c r="BP10" s="16">
        <v>57.3289751379659</v>
      </c>
      <c r="BQ10" s="16">
        <v>325.99936055697</v>
      </c>
      <c r="BR10" s="102">
        <v>6.66666666666667</v>
      </c>
      <c r="BS10" s="13"/>
      <c r="BT10" s="13" t="s">
        <v>105</v>
      </c>
      <c r="BU10" s="12">
        <v>45724</v>
      </c>
      <c r="BV10" s="13" t="s">
        <v>105</v>
      </c>
      <c r="BW10" s="31">
        <v>6.6</v>
      </c>
      <c r="BX10" s="13" t="s">
        <v>103</v>
      </c>
      <c r="BY10" s="13" t="s">
        <v>103</v>
      </c>
      <c r="BZ10" s="13" t="s">
        <v>103</v>
      </c>
    </row>
    <row r="11" spans="1:78">
      <c r="A11" s="12">
        <v>45727</v>
      </c>
      <c r="B11" s="13">
        <v>25030009</v>
      </c>
      <c r="C11" s="13"/>
      <c r="D11" s="13"/>
      <c r="E11" s="13">
        <v>1</v>
      </c>
      <c r="F11" s="13" t="s">
        <v>91</v>
      </c>
      <c r="G11" s="13">
        <v>60</v>
      </c>
      <c r="H11" s="13">
        <v>60</v>
      </c>
      <c r="I11" s="13" t="s">
        <v>92</v>
      </c>
      <c r="J11" s="13" t="s">
        <v>133</v>
      </c>
      <c r="K11" s="13" t="s">
        <v>94</v>
      </c>
      <c r="L11" s="13">
        <v>900</v>
      </c>
      <c r="M11" s="13">
        <v>4</v>
      </c>
      <c r="N11" s="13">
        <v>0.24</v>
      </c>
      <c r="O11" s="13">
        <v>87</v>
      </c>
      <c r="P11" s="31">
        <v>1.72</v>
      </c>
      <c r="Q11" s="16">
        <v>29.40778799351</v>
      </c>
      <c r="R11" s="13">
        <v>87</v>
      </c>
      <c r="S11" s="13" t="s">
        <v>95</v>
      </c>
      <c r="T11" s="13">
        <v>361</v>
      </c>
      <c r="U11" s="13">
        <v>5272</v>
      </c>
      <c r="V11" s="16">
        <v>4.99411987860395</v>
      </c>
      <c r="W11" s="87">
        <v>24974</v>
      </c>
      <c r="X11" s="13">
        <v>26329</v>
      </c>
      <c r="Y11" s="13">
        <v>1355</v>
      </c>
      <c r="Z11" s="13">
        <v>329</v>
      </c>
      <c r="AA11" s="13">
        <v>333.8</v>
      </c>
      <c r="AB11" s="13" t="s">
        <v>96</v>
      </c>
      <c r="AC11" s="13" t="s">
        <v>121</v>
      </c>
      <c r="AD11" s="13" t="s">
        <v>98</v>
      </c>
      <c r="AE11" s="13">
        <v>80</v>
      </c>
      <c r="AF11" s="13">
        <v>82.5</v>
      </c>
      <c r="AG11" s="13">
        <v>85</v>
      </c>
      <c r="AH11" s="13" t="s">
        <v>109</v>
      </c>
      <c r="AI11" s="13" t="s">
        <v>100</v>
      </c>
      <c r="AJ11" s="13" t="s">
        <v>101</v>
      </c>
      <c r="AK11" s="13" t="s">
        <v>102</v>
      </c>
      <c r="AL11" s="13">
        <v>225.2</v>
      </c>
      <c r="AM11" s="13" t="s">
        <v>100</v>
      </c>
      <c r="AN11" s="13" t="s">
        <v>101</v>
      </c>
      <c r="AO11" s="13" t="s">
        <v>102</v>
      </c>
      <c r="AP11" s="13">
        <v>225.2</v>
      </c>
      <c r="AQ11" s="13">
        <v>62.22</v>
      </c>
      <c r="AR11" s="13">
        <v>16.5</v>
      </c>
      <c r="AS11" s="16">
        <v>10.2663</v>
      </c>
      <c r="AT11" s="13">
        <v>29.3</v>
      </c>
      <c r="AU11" s="13">
        <v>133</v>
      </c>
      <c r="AV11" s="13">
        <v>343.7</v>
      </c>
      <c r="AW11" s="13">
        <v>63.5</v>
      </c>
      <c r="AX11" s="16">
        <v>218.2495</v>
      </c>
      <c r="AY11" s="31">
        <v>1.5</v>
      </c>
      <c r="AZ11" s="13">
        <v>0.16</v>
      </c>
      <c r="BA11" s="13">
        <v>961</v>
      </c>
      <c r="BB11" s="13">
        <v>63.45</v>
      </c>
      <c r="BC11" s="13">
        <v>8.4</v>
      </c>
      <c r="BD11" s="16">
        <v>5.3298</v>
      </c>
      <c r="BE11" s="13">
        <v>30.8</v>
      </c>
      <c r="BF11" s="13">
        <v>74</v>
      </c>
      <c r="BG11" s="31"/>
      <c r="BH11" s="13">
        <v>25.3</v>
      </c>
      <c r="BI11" s="31">
        <v>786</v>
      </c>
      <c r="BJ11" s="31">
        <v>262.3</v>
      </c>
      <c r="BK11" s="13">
        <v>3</v>
      </c>
      <c r="BL11" s="13">
        <v>363055</v>
      </c>
      <c r="BM11" s="31">
        <v>99.5</v>
      </c>
      <c r="BN11" s="13" t="s">
        <v>103</v>
      </c>
      <c r="BO11" s="16">
        <v>24.974</v>
      </c>
      <c r="BP11" s="16">
        <v>41.5135298022196</v>
      </c>
      <c r="BQ11" s="16">
        <v>85.1238384946537</v>
      </c>
      <c r="BR11" s="102">
        <v>44.3609022556391</v>
      </c>
      <c r="BS11" s="13"/>
      <c r="BT11" s="13" t="s">
        <v>105</v>
      </c>
      <c r="BU11" s="12">
        <v>45729</v>
      </c>
      <c r="BV11" s="13" t="s">
        <v>105</v>
      </c>
      <c r="BW11" s="31">
        <v>3</v>
      </c>
      <c r="BX11" s="13" t="s">
        <v>103</v>
      </c>
      <c r="BY11" s="13" t="s">
        <v>103</v>
      </c>
      <c r="BZ11" s="13" t="s">
        <v>103</v>
      </c>
    </row>
    <row r="12" spans="1:78">
      <c r="A12" s="12">
        <v>45736</v>
      </c>
      <c r="B12" s="13">
        <v>25030030</v>
      </c>
      <c r="C12" s="13"/>
      <c r="D12" s="13"/>
      <c r="E12" s="13">
        <v>1</v>
      </c>
      <c r="F12" s="13" t="s">
        <v>111</v>
      </c>
      <c r="G12" s="13">
        <v>7</v>
      </c>
      <c r="H12" s="13">
        <v>7</v>
      </c>
      <c r="I12" s="13" t="s">
        <v>92</v>
      </c>
      <c r="J12" s="13" t="s">
        <v>115</v>
      </c>
      <c r="K12" s="13" t="s">
        <v>116</v>
      </c>
      <c r="L12" s="13">
        <v>300</v>
      </c>
      <c r="M12" s="13">
        <v>6</v>
      </c>
      <c r="N12" s="13" t="s">
        <v>103</v>
      </c>
      <c r="O12" s="13">
        <v>20</v>
      </c>
      <c r="P12" s="31">
        <v>1.16</v>
      </c>
      <c r="Q12" s="16">
        <v>14.8632580261593</v>
      </c>
      <c r="R12" s="13">
        <v>20</v>
      </c>
      <c r="S12" s="13" t="s">
        <v>140</v>
      </c>
      <c r="T12" s="13">
        <v>176</v>
      </c>
      <c r="U12" s="13">
        <v>1397</v>
      </c>
      <c r="V12" s="16">
        <v>4.1009305654975</v>
      </c>
      <c r="W12" s="87">
        <v>5434</v>
      </c>
      <c r="X12" s="13">
        <v>5729</v>
      </c>
      <c r="Y12" s="13">
        <v>295</v>
      </c>
      <c r="Z12" s="13">
        <v>144</v>
      </c>
      <c r="AA12" s="13">
        <v>149</v>
      </c>
      <c r="AB12" s="13" t="s">
        <v>96</v>
      </c>
      <c r="AC12" s="13" t="s">
        <v>97</v>
      </c>
      <c r="AD12" s="13" t="s">
        <v>98</v>
      </c>
      <c r="AE12" s="13">
        <v>26.1</v>
      </c>
      <c r="AF12" s="13">
        <v>32</v>
      </c>
      <c r="AG12" s="13">
        <v>37.6</v>
      </c>
      <c r="AH12" s="13" t="s">
        <v>99</v>
      </c>
      <c r="AI12" s="13" t="s">
        <v>123</v>
      </c>
      <c r="AJ12" s="13" t="s">
        <v>101</v>
      </c>
      <c r="AK12" s="13" t="s">
        <v>102</v>
      </c>
      <c r="AL12" s="13" t="s">
        <v>102</v>
      </c>
      <c r="AM12" s="13" t="s">
        <v>123</v>
      </c>
      <c r="AN12" s="13" t="s">
        <v>101</v>
      </c>
      <c r="AO12" s="13" t="s">
        <v>102</v>
      </c>
      <c r="AP12" s="13" t="s">
        <v>102</v>
      </c>
      <c r="AQ12" s="13">
        <v>12.11</v>
      </c>
      <c r="AR12" s="13">
        <v>30.3</v>
      </c>
      <c r="AS12" s="16">
        <v>3.66933</v>
      </c>
      <c r="AT12" s="13">
        <v>35.2</v>
      </c>
      <c r="AU12" s="13">
        <v>236</v>
      </c>
      <c r="AV12" s="13">
        <v>123.79</v>
      </c>
      <c r="AW12" s="13">
        <v>55.7</v>
      </c>
      <c r="AX12" s="16">
        <v>68.95103</v>
      </c>
      <c r="AY12" s="31">
        <v>1.2</v>
      </c>
      <c r="AZ12" s="13">
        <v>0.09</v>
      </c>
      <c r="BA12" s="13">
        <v>1128</v>
      </c>
      <c r="BB12" s="13">
        <v>10.79</v>
      </c>
      <c r="BC12" s="13">
        <v>20</v>
      </c>
      <c r="BD12" s="16">
        <v>2.158</v>
      </c>
      <c r="BE12" s="13">
        <v>37</v>
      </c>
      <c r="BF12" s="13">
        <v>163</v>
      </c>
      <c r="BG12" s="31"/>
      <c r="BH12" s="13">
        <v>33.8</v>
      </c>
      <c r="BI12" s="31">
        <v>834.4</v>
      </c>
      <c r="BJ12" s="31">
        <v>124.3</v>
      </c>
      <c r="BK12" s="13">
        <v>6.2</v>
      </c>
      <c r="BL12" s="13">
        <v>133810</v>
      </c>
      <c r="BM12" s="31">
        <v>99.1</v>
      </c>
      <c r="BN12" s="13" t="s">
        <v>103</v>
      </c>
      <c r="BO12" s="16">
        <v>5.434</v>
      </c>
      <c r="BP12" s="16">
        <v>67.6760175358743</v>
      </c>
      <c r="BQ12" s="16">
        <v>345.807455573802</v>
      </c>
      <c r="BR12" s="102">
        <v>30.9322033898305</v>
      </c>
      <c r="BS12" s="13"/>
      <c r="BT12" s="13" t="s">
        <v>105</v>
      </c>
      <c r="BU12" s="12"/>
      <c r="BV12" s="13" t="s">
        <v>105</v>
      </c>
      <c r="BW12" s="31">
        <v>6.2</v>
      </c>
      <c r="BX12" s="13" t="s">
        <v>103</v>
      </c>
      <c r="BY12" s="13" t="s">
        <v>103</v>
      </c>
      <c r="BZ12" s="13" t="s">
        <v>103</v>
      </c>
    </row>
    <row r="13" spans="1:78">
      <c r="A13" s="12">
        <v>45737</v>
      </c>
      <c r="B13" s="13">
        <v>25030032</v>
      </c>
      <c r="C13" s="13"/>
      <c r="D13" s="13"/>
      <c r="E13" s="13">
        <v>1</v>
      </c>
      <c r="F13" s="13" t="s">
        <v>91</v>
      </c>
      <c r="G13" s="13">
        <v>11</v>
      </c>
      <c r="H13" s="13">
        <v>11</v>
      </c>
      <c r="I13" s="13" t="s">
        <v>92</v>
      </c>
      <c r="J13" s="13" t="s">
        <v>115</v>
      </c>
      <c r="K13" s="13" t="s">
        <v>116</v>
      </c>
      <c r="L13" s="13">
        <v>300</v>
      </c>
      <c r="M13" s="13">
        <v>6</v>
      </c>
      <c r="N13" s="13" t="s">
        <v>103</v>
      </c>
      <c r="O13" s="13">
        <v>35.5</v>
      </c>
      <c r="P13" s="31">
        <v>1.44</v>
      </c>
      <c r="Q13" s="16">
        <v>17.1199845679012</v>
      </c>
      <c r="R13" s="13">
        <v>35.5</v>
      </c>
      <c r="S13" s="13" t="s">
        <v>95</v>
      </c>
      <c r="T13" s="13">
        <v>298</v>
      </c>
      <c r="U13" s="13">
        <v>2858</v>
      </c>
      <c r="V13" s="16">
        <v>5</v>
      </c>
      <c r="W13" s="87">
        <v>13588</v>
      </c>
      <c r="X13" s="13">
        <v>14290</v>
      </c>
      <c r="Y13" s="13">
        <v>702</v>
      </c>
      <c r="Z13" s="13">
        <v>264</v>
      </c>
      <c r="AA13" s="13">
        <v>254.4</v>
      </c>
      <c r="AB13" s="13" t="s">
        <v>96</v>
      </c>
      <c r="AC13" s="13" t="s">
        <v>121</v>
      </c>
      <c r="AD13" s="13" t="s">
        <v>98</v>
      </c>
      <c r="AE13" s="13">
        <v>50</v>
      </c>
      <c r="AF13" s="13">
        <v>52.5</v>
      </c>
      <c r="AG13" s="13">
        <v>55</v>
      </c>
      <c r="AH13" s="13" t="s">
        <v>99</v>
      </c>
      <c r="AI13" s="13" t="s">
        <v>110</v>
      </c>
      <c r="AJ13" s="13" t="s">
        <v>101</v>
      </c>
      <c r="AK13" s="13" t="s">
        <v>102</v>
      </c>
      <c r="AL13" s="13" t="s">
        <v>102</v>
      </c>
      <c r="AM13" s="13" t="s">
        <v>110</v>
      </c>
      <c r="AN13" s="13" t="s">
        <v>101</v>
      </c>
      <c r="AO13" s="13" t="s">
        <v>102</v>
      </c>
      <c r="AP13" s="13" t="s">
        <v>102</v>
      </c>
      <c r="AQ13" s="13">
        <v>2.19</v>
      </c>
      <c r="AR13" s="13">
        <v>32</v>
      </c>
      <c r="AS13" s="16">
        <v>0.7008</v>
      </c>
      <c r="AT13" s="13">
        <v>32.3</v>
      </c>
      <c r="AU13" s="13">
        <v>46</v>
      </c>
      <c r="AV13" s="13">
        <v>76.49</v>
      </c>
      <c r="AW13" s="13">
        <v>35.6</v>
      </c>
      <c r="AX13" s="16">
        <v>27.23044</v>
      </c>
      <c r="AY13" s="31">
        <v>1.3</v>
      </c>
      <c r="AZ13" s="13">
        <v>0.15</v>
      </c>
      <c r="BA13" s="13">
        <v>287</v>
      </c>
      <c r="BB13" s="13">
        <v>2.78</v>
      </c>
      <c r="BC13" s="13">
        <v>30.2</v>
      </c>
      <c r="BD13" s="16">
        <v>0.83956</v>
      </c>
      <c r="BE13" s="13">
        <v>32.6</v>
      </c>
      <c r="BF13" s="13">
        <v>35</v>
      </c>
      <c r="BG13" s="31"/>
      <c r="BH13" s="13">
        <v>10.5</v>
      </c>
      <c r="BI13" s="31">
        <v>748.4</v>
      </c>
      <c r="BJ13" s="31">
        <v>190.3</v>
      </c>
      <c r="BK13" s="13">
        <v>5.3</v>
      </c>
      <c r="BL13" s="13">
        <v>71820</v>
      </c>
      <c r="BM13" s="31">
        <v>99.3</v>
      </c>
      <c r="BN13" s="13" t="s">
        <v>103</v>
      </c>
      <c r="BO13" s="16">
        <v>13.588</v>
      </c>
      <c r="BP13" s="16">
        <v>133.380994434866</v>
      </c>
      <c r="BQ13" s="16">
        <v>285.959828239529</v>
      </c>
      <c r="BR13" s="102">
        <v>23.9130434782609</v>
      </c>
      <c r="BS13" s="13"/>
      <c r="BT13" s="13" t="s">
        <v>105</v>
      </c>
      <c r="BU13" s="12"/>
      <c r="BV13" s="13" t="s">
        <v>105</v>
      </c>
      <c r="BW13" s="31">
        <v>5.3</v>
      </c>
      <c r="BX13" s="13" t="s">
        <v>103</v>
      </c>
      <c r="BY13" s="13" t="s">
        <v>103</v>
      </c>
      <c r="BZ13" s="13" t="s">
        <v>103</v>
      </c>
    </row>
    <row r="14" spans="1:78">
      <c r="A14" s="12">
        <v>45741</v>
      </c>
      <c r="B14" s="13">
        <v>25030037</v>
      </c>
      <c r="C14" s="13"/>
      <c r="D14" s="13"/>
      <c r="E14" s="13">
        <v>1</v>
      </c>
      <c r="F14" s="13" t="s">
        <v>111</v>
      </c>
      <c r="G14" s="13">
        <v>53</v>
      </c>
      <c r="H14" s="13">
        <v>53</v>
      </c>
      <c r="I14" s="13" t="s">
        <v>92</v>
      </c>
      <c r="J14" s="13" t="s">
        <v>133</v>
      </c>
      <c r="K14" s="13" t="s">
        <v>94</v>
      </c>
      <c r="L14" s="13">
        <v>600</v>
      </c>
      <c r="M14" s="13">
        <v>4</v>
      </c>
      <c r="N14" s="13" t="s">
        <v>103</v>
      </c>
      <c r="O14" s="13">
        <v>72</v>
      </c>
      <c r="P14" s="31">
        <v>1.63</v>
      </c>
      <c r="Q14" s="16">
        <v>27.0992510068125</v>
      </c>
      <c r="R14" s="13">
        <v>72</v>
      </c>
      <c r="S14" s="13" t="s">
        <v>95</v>
      </c>
      <c r="T14" s="13">
        <v>253</v>
      </c>
      <c r="U14" s="13">
        <v>4107</v>
      </c>
      <c r="V14" s="16">
        <v>5</v>
      </c>
      <c r="W14" s="87">
        <v>19535</v>
      </c>
      <c r="X14" s="13">
        <v>20535</v>
      </c>
      <c r="Y14" s="13">
        <v>1000</v>
      </c>
      <c r="Z14" s="13">
        <v>236</v>
      </c>
      <c r="AA14" s="13">
        <v>233.7</v>
      </c>
      <c r="AB14" s="13" t="s">
        <v>96</v>
      </c>
      <c r="AC14" s="13" t="s">
        <v>97</v>
      </c>
      <c r="AD14" s="13" t="s">
        <v>98</v>
      </c>
      <c r="AE14" s="13">
        <v>80</v>
      </c>
      <c r="AF14" s="13">
        <v>85</v>
      </c>
      <c r="AG14" s="13">
        <v>90</v>
      </c>
      <c r="AH14" s="13" t="s">
        <v>109</v>
      </c>
      <c r="AI14" s="13" t="s">
        <v>110</v>
      </c>
      <c r="AJ14" s="13" t="s">
        <v>101</v>
      </c>
      <c r="AK14" s="13" t="s">
        <v>102</v>
      </c>
      <c r="AL14" s="13">
        <v>101.9</v>
      </c>
      <c r="AM14" s="13" t="s">
        <v>110</v>
      </c>
      <c r="AN14" s="13" t="s">
        <v>101</v>
      </c>
      <c r="AO14" s="13" t="s">
        <v>102</v>
      </c>
      <c r="AP14" s="13">
        <v>101.9</v>
      </c>
      <c r="AQ14" s="13">
        <v>78.27</v>
      </c>
      <c r="AR14" s="13">
        <v>15.6</v>
      </c>
      <c r="AS14" s="16">
        <v>12.21012</v>
      </c>
      <c r="AT14" s="13">
        <v>27.5</v>
      </c>
      <c r="AU14" s="13">
        <v>253</v>
      </c>
      <c r="AV14" s="13">
        <v>547.2</v>
      </c>
      <c r="AW14" s="13">
        <v>61.8</v>
      </c>
      <c r="AX14" s="16">
        <v>338.1696</v>
      </c>
      <c r="AY14" s="31">
        <v>0.2</v>
      </c>
      <c r="AZ14" s="13">
        <v>0.3</v>
      </c>
      <c r="BA14" s="13">
        <v>1910</v>
      </c>
      <c r="BB14" s="13">
        <v>53.17</v>
      </c>
      <c r="BC14" s="13">
        <v>7.6</v>
      </c>
      <c r="BD14" s="16">
        <v>4.04092</v>
      </c>
      <c r="BE14" s="13">
        <v>29.6</v>
      </c>
      <c r="BF14" s="13">
        <v>133</v>
      </c>
      <c r="BG14" s="31"/>
      <c r="BH14" s="13">
        <v>44.9</v>
      </c>
      <c r="BI14" s="31">
        <v>1080.9</v>
      </c>
      <c r="BJ14" s="31">
        <v>252.6</v>
      </c>
      <c r="BK14" s="13">
        <v>3.5</v>
      </c>
      <c r="BL14" s="13">
        <v>535674</v>
      </c>
      <c r="BM14" s="31">
        <v>99.1</v>
      </c>
      <c r="BN14" s="13" t="s">
        <v>103</v>
      </c>
      <c r="BO14" s="16">
        <v>19.535</v>
      </c>
      <c r="BP14" s="16">
        <v>28.7987468098775</v>
      </c>
      <c r="BQ14" s="16">
        <v>141.775509296513</v>
      </c>
      <c r="BR14" s="102">
        <v>47.4308300395257</v>
      </c>
      <c r="BS14" s="13"/>
      <c r="BT14" s="13" t="s">
        <v>105</v>
      </c>
      <c r="BU14" s="13"/>
      <c r="BV14" s="13" t="s">
        <v>105</v>
      </c>
      <c r="BW14" s="31">
        <v>3.5</v>
      </c>
      <c r="BX14" s="13" t="s">
        <v>103</v>
      </c>
      <c r="BY14" s="13" t="s">
        <v>103</v>
      </c>
      <c r="BZ14" s="13" t="s">
        <v>103</v>
      </c>
    </row>
    <row r="15" spans="22:63">
      <c r="V15" s="88">
        <f>MEDIAN(V2:V14)</f>
        <v>5</v>
      </c>
      <c r="BK15">
        <f>MEDIAN(BK2:BK14)</f>
        <v>5.3</v>
      </c>
    </row>
    <row r="17" ht="15.75"/>
    <row r="18" ht="51.75" spans="1:78">
      <c r="A18" s="8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5</v>
      </c>
      <c r="G18" s="9" t="s">
        <v>6</v>
      </c>
      <c r="H18" s="9" t="s">
        <v>7</v>
      </c>
      <c r="I18" s="9" t="s">
        <v>8</v>
      </c>
      <c r="J18" s="9" t="s">
        <v>9</v>
      </c>
      <c r="K18" s="9" t="s">
        <v>10</v>
      </c>
      <c r="L18" s="9" t="s">
        <v>11</v>
      </c>
      <c r="M18" s="9" t="s">
        <v>12</v>
      </c>
      <c r="N18" s="9" t="s">
        <v>13</v>
      </c>
      <c r="O18" s="9" t="s">
        <v>14</v>
      </c>
      <c r="P18" s="18" t="s">
        <v>15</v>
      </c>
      <c r="Q18" s="14" t="s">
        <v>16</v>
      </c>
      <c r="R18" s="9" t="s">
        <v>17</v>
      </c>
      <c r="S18" s="9" t="s">
        <v>18</v>
      </c>
      <c r="T18" s="9" t="s">
        <v>19</v>
      </c>
      <c r="U18" s="9" t="s">
        <v>20</v>
      </c>
      <c r="V18" s="34" t="s">
        <v>21</v>
      </c>
      <c r="W18" s="85" t="s">
        <v>22</v>
      </c>
      <c r="X18" s="9" t="s">
        <v>23</v>
      </c>
      <c r="Y18" s="9" t="s">
        <v>24</v>
      </c>
      <c r="Z18" s="9" t="s">
        <v>25</v>
      </c>
      <c r="AA18" s="18" t="s">
        <v>26</v>
      </c>
      <c r="AB18" s="21" t="s">
        <v>27</v>
      </c>
      <c r="AC18" s="22" t="s">
        <v>28</v>
      </c>
      <c r="AD18" s="23" t="s">
        <v>29</v>
      </c>
      <c r="AE18" s="24" t="s">
        <v>30</v>
      </c>
      <c r="AF18" s="24" t="s">
        <v>31</v>
      </c>
      <c r="AG18" s="24" t="s">
        <v>32</v>
      </c>
      <c r="AH18" s="24" t="s">
        <v>33</v>
      </c>
      <c r="AI18" s="33" t="s">
        <v>34</v>
      </c>
      <c r="AJ18" s="33" t="s">
        <v>35</v>
      </c>
      <c r="AK18" s="33" t="s">
        <v>36</v>
      </c>
      <c r="AL18" s="33" t="s">
        <v>37</v>
      </c>
      <c r="AM18" s="89" t="s">
        <v>38</v>
      </c>
      <c r="AN18" s="89" t="s">
        <v>39</v>
      </c>
      <c r="AO18" s="89" t="s">
        <v>40</v>
      </c>
      <c r="AP18" s="89" t="s">
        <v>41</v>
      </c>
      <c r="AQ18" s="25" t="s">
        <v>42</v>
      </c>
      <c r="AR18" s="25" t="s">
        <v>43</v>
      </c>
      <c r="AS18" s="90" t="s">
        <v>44</v>
      </c>
      <c r="AT18" s="25" t="s">
        <v>45</v>
      </c>
      <c r="AU18" s="25" t="s">
        <v>46</v>
      </c>
      <c r="AV18" s="27" t="s">
        <v>47</v>
      </c>
      <c r="AW18" s="27" t="s">
        <v>48</v>
      </c>
      <c r="AX18" s="91" t="s">
        <v>49</v>
      </c>
      <c r="AY18" s="29" t="s">
        <v>51</v>
      </c>
      <c r="AZ18" s="27" t="s">
        <v>52</v>
      </c>
      <c r="BA18" s="27" t="s">
        <v>53</v>
      </c>
      <c r="BB18" s="92" t="s">
        <v>54</v>
      </c>
      <c r="BC18" s="92" t="s">
        <v>55</v>
      </c>
      <c r="BD18" s="91" t="s">
        <v>56</v>
      </c>
      <c r="BE18" s="93" t="s">
        <v>57</v>
      </c>
      <c r="BF18" s="92" t="s">
        <v>58</v>
      </c>
      <c r="BG18" s="94" t="s">
        <v>59</v>
      </c>
      <c r="BH18" s="95" t="s">
        <v>60</v>
      </c>
      <c r="BI18" s="96" t="s">
        <v>61</v>
      </c>
      <c r="BJ18" s="96" t="s">
        <v>62</v>
      </c>
      <c r="BK18" s="96" t="s">
        <v>63</v>
      </c>
      <c r="BL18" s="96" t="s">
        <v>64</v>
      </c>
      <c r="BM18" s="96" t="s">
        <v>65</v>
      </c>
      <c r="BN18" s="98" t="s">
        <v>66</v>
      </c>
      <c r="BO18" s="99" t="s">
        <v>67</v>
      </c>
      <c r="BP18" s="99" t="s">
        <v>68</v>
      </c>
      <c r="BQ18" s="99" t="s">
        <v>69</v>
      </c>
      <c r="BR18" s="100" t="s">
        <v>70</v>
      </c>
      <c r="BS18" s="101" t="s">
        <v>71</v>
      </c>
      <c r="BT18" s="24" t="s">
        <v>72</v>
      </c>
      <c r="BU18" s="24" t="s">
        <v>73</v>
      </c>
      <c r="BV18" s="24" t="s">
        <v>74</v>
      </c>
      <c r="BW18" s="104" t="s">
        <v>75</v>
      </c>
      <c r="BX18" s="105" t="s">
        <v>76</v>
      </c>
      <c r="BY18" s="106" t="s">
        <v>77</v>
      </c>
      <c r="BZ18" s="106" t="s">
        <v>78</v>
      </c>
    </row>
    <row r="19" spans="1:78">
      <c r="A19" s="12">
        <v>45678</v>
      </c>
      <c r="B19" s="13">
        <v>25010055</v>
      </c>
      <c r="C19" s="13"/>
      <c r="D19" s="13"/>
      <c r="E19" s="13">
        <v>1</v>
      </c>
      <c r="F19" s="13" t="s">
        <v>111</v>
      </c>
      <c r="G19" s="13">
        <v>32</v>
      </c>
      <c r="H19" s="13">
        <v>46</v>
      </c>
      <c r="I19" s="13" t="s">
        <v>120</v>
      </c>
      <c r="J19" s="13" t="s">
        <v>112</v>
      </c>
      <c r="K19" s="13" t="s">
        <v>94</v>
      </c>
      <c r="L19" s="13">
        <v>600</v>
      </c>
      <c r="M19" s="13">
        <v>4</v>
      </c>
      <c r="N19" s="13" t="s">
        <v>103</v>
      </c>
      <c r="O19" s="13">
        <v>72</v>
      </c>
      <c r="P19" s="31">
        <v>1.7</v>
      </c>
      <c r="Q19" s="16">
        <v>24.9134948096886</v>
      </c>
      <c r="R19" s="13">
        <v>52</v>
      </c>
      <c r="S19" s="13" t="s">
        <v>95</v>
      </c>
      <c r="T19" s="13">
        <v>270</v>
      </c>
      <c r="U19" s="13">
        <v>4724</v>
      </c>
      <c r="V19" s="16">
        <v>3.5002116850127</v>
      </c>
      <c r="W19" s="87">
        <v>15722</v>
      </c>
      <c r="X19" s="13">
        <v>16535</v>
      </c>
      <c r="Y19" s="13">
        <v>813</v>
      </c>
      <c r="Z19" s="13">
        <v>250</v>
      </c>
      <c r="AA19" s="13">
        <v>245.2</v>
      </c>
      <c r="AB19" s="13" t="s">
        <v>96</v>
      </c>
      <c r="AC19" s="13" t="s">
        <v>121</v>
      </c>
      <c r="AD19" s="13" t="s">
        <v>122</v>
      </c>
      <c r="AE19" s="13">
        <v>55</v>
      </c>
      <c r="AF19" s="13">
        <v>65.5</v>
      </c>
      <c r="AG19" s="13">
        <v>76</v>
      </c>
      <c r="AH19" s="13" t="s">
        <v>109</v>
      </c>
      <c r="AI19" s="13" t="s">
        <v>123</v>
      </c>
      <c r="AJ19" s="13" t="s">
        <v>101</v>
      </c>
      <c r="AK19" s="13" t="s">
        <v>102</v>
      </c>
      <c r="AL19" s="13">
        <v>122.8</v>
      </c>
      <c r="AM19" s="13" t="s">
        <v>100</v>
      </c>
      <c r="AN19" s="13" t="s">
        <v>101</v>
      </c>
      <c r="AO19" s="13" t="s">
        <v>102</v>
      </c>
      <c r="AP19" s="13" t="s">
        <v>113</v>
      </c>
      <c r="AQ19" s="13">
        <v>58.55</v>
      </c>
      <c r="AR19" s="13">
        <v>19</v>
      </c>
      <c r="AS19" s="16">
        <v>11.1245</v>
      </c>
      <c r="AT19" s="13">
        <v>50.9</v>
      </c>
      <c r="AU19" s="13">
        <v>213</v>
      </c>
      <c r="AV19" s="13">
        <v>338.95</v>
      </c>
      <c r="AW19" s="13">
        <v>75.8</v>
      </c>
      <c r="AX19" s="16">
        <v>256.9241</v>
      </c>
      <c r="AY19" s="31">
        <v>2.8</v>
      </c>
      <c r="AZ19" s="13">
        <v>0.35</v>
      </c>
      <c r="BA19" s="13">
        <v>2993</v>
      </c>
      <c r="BB19" s="13">
        <v>40.24</v>
      </c>
      <c r="BC19" s="13">
        <v>9.5</v>
      </c>
      <c r="BD19" s="16">
        <v>3.8228</v>
      </c>
      <c r="BE19" s="13">
        <v>49.1</v>
      </c>
      <c r="BF19" s="13">
        <v>63</v>
      </c>
      <c r="BG19" s="31">
        <v>34.1</v>
      </c>
      <c r="BH19" s="13">
        <v>52.1</v>
      </c>
      <c r="BI19" s="31">
        <v>1561.3</v>
      </c>
      <c r="BJ19" s="31">
        <v>382.8</v>
      </c>
      <c r="BK19" s="13">
        <v>7.3</v>
      </c>
      <c r="BL19" s="13">
        <v>364984</v>
      </c>
      <c r="BM19" s="31">
        <v>99.2</v>
      </c>
      <c r="BN19" s="13" t="s">
        <v>103</v>
      </c>
      <c r="BO19" s="16">
        <v>15.722</v>
      </c>
      <c r="BP19" s="16">
        <v>46.7332962038841</v>
      </c>
      <c r="BQ19" s="16">
        <v>146.898226156753</v>
      </c>
      <c r="BR19" s="102">
        <v>70.4225352112676</v>
      </c>
      <c r="BS19" s="103"/>
      <c r="BT19" s="13" t="s">
        <v>105</v>
      </c>
      <c r="BU19" s="12">
        <v>45681</v>
      </c>
      <c r="BV19" s="13" t="s">
        <v>105</v>
      </c>
      <c r="BW19" s="31">
        <v>7.3</v>
      </c>
      <c r="BX19" s="13" t="s">
        <v>103</v>
      </c>
      <c r="BY19" s="13" t="s">
        <v>103</v>
      </c>
      <c r="BZ19" s="13" t="s">
        <v>103</v>
      </c>
    </row>
    <row r="20" spans="1:78">
      <c r="A20" s="12">
        <v>45692</v>
      </c>
      <c r="B20" s="13">
        <v>25020001</v>
      </c>
      <c r="C20" s="13"/>
      <c r="D20" s="13"/>
      <c r="E20" s="13">
        <v>1</v>
      </c>
      <c r="F20" s="13" t="s">
        <v>91</v>
      </c>
      <c r="G20" s="13">
        <v>11</v>
      </c>
      <c r="H20" s="13">
        <v>17</v>
      </c>
      <c r="I20" s="13" t="s">
        <v>120</v>
      </c>
      <c r="J20" s="13" t="s">
        <v>112</v>
      </c>
      <c r="K20" s="13" t="s">
        <v>94</v>
      </c>
      <c r="L20" s="13">
        <v>600</v>
      </c>
      <c r="M20" s="13">
        <v>4</v>
      </c>
      <c r="N20" s="13" t="s">
        <v>103</v>
      </c>
      <c r="O20" s="13">
        <v>58.9</v>
      </c>
      <c r="P20" s="31">
        <v>1.58</v>
      </c>
      <c r="Q20" s="16">
        <v>23.5939753244672</v>
      </c>
      <c r="R20" s="13">
        <v>67.6</v>
      </c>
      <c r="S20" s="13" t="s">
        <v>95</v>
      </c>
      <c r="T20" s="13">
        <v>193</v>
      </c>
      <c r="U20" s="13">
        <v>3950</v>
      </c>
      <c r="V20" s="16">
        <v>3.50025316455696</v>
      </c>
      <c r="W20" s="87">
        <v>13144</v>
      </c>
      <c r="X20" s="13">
        <v>13826</v>
      </c>
      <c r="Y20" s="13">
        <v>682</v>
      </c>
      <c r="Z20" s="13">
        <v>173</v>
      </c>
      <c r="AA20" s="13">
        <v>171.3</v>
      </c>
      <c r="AB20" s="13" t="s">
        <v>96</v>
      </c>
      <c r="AC20" s="13" t="s">
        <v>108</v>
      </c>
      <c r="AD20" s="13" t="s">
        <v>98</v>
      </c>
      <c r="AE20" s="13">
        <v>70</v>
      </c>
      <c r="AF20" s="13">
        <v>75</v>
      </c>
      <c r="AG20" s="13">
        <v>80</v>
      </c>
      <c r="AH20" s="13" t="s">
        <v>99</v>
      </c>
      <c r="AI20" s="13" t="s">
        <v>100</v>
      </c>
      <c r="AJ20" s="13" t="s">
        <v>101</v>
      </c>
      <c r="AK20" s="13" t="s">
        <v>102</v>
      </c>
      <c r="AL20" s="13">
        <v>158.4</v>
      </c>
      <c r="AM20" s="13" t="s">
        <v>100</v>
      </c>
      <c r="AN20" s="13" t="s">
        <v>101</v>
      </c>
      <c r="AO20" s="13" t="s">
        <v>102</v>
      </c>
      <c r="AP20" s="13">
        <v>120.9</v>
      </c>
      <c r="AQ20" s="13">
        <v>66.94</v>
      </c>
      <c r="AR20" s="13">
        <v>17.6</v>
      </c>
      <c r="AS20" s="16">
        <v>11.78144</v>
      </c>
      <c r="AT20" s="13">
        <v>36.4</v>
      </c>
      <c r="AU20" s="13">
        <v>232</v>
      </c>
      <c r="AV20" s="13">
        <v>628.9</v>
      </c>
      <c r="AW20" s="13">
        <v>64.9</v>
      </c>
      <c r="AX20" s="16">
        <v>408.1561</v>
      </c>
      <c r="AY20" s="31">
        <v>0.4</v>
      </c>
      <c r="AZ20" s="13">
        <v>0.03</v>
      </c>
      <c r="BA20" s="13">
        <v>2070</v>
      </c>
      <c r="BB20" s="13">
        <v>49.2</v>
      </c>
      <c r="BC20" s="13">
        <v>12.5</v>
      </c>
      <c r="BD20" s="16">
        <v>6.15</v>
      </c>
      <c r="BE20" s="13">
        <v>34.4</v>
      </c>
      <c r="BF20" s="13">
        <v>128</v>
      </c>
      <c r="BG20" s="31" t="s">
        <v>103</v>
      </c>
      <c r="BH20" s="13">
        <v>111.4</v>
      </c>
      <c r="BI20" s="31">
        <v>3653.9</v>
      </c>
      <c r="BJ20" s="31">
        <v>625.9</v>
      </c>
      <c r="BK20" s="13">
        <v>9.2</v>
      </c>
      <c r="BL20" s="13">
        <v>601275</v>
      </c>
      <c r="BM20" s="31">
        <v>99.4</v>
      </c>
      <c r="BN20" s="13" t="s">
        <v>103</v>
      </c>
      <c r="BO20" s="16">
        <v>13.144</v>
      </c>
      <c r="BP20" s="16">
        <v>42.7456780356466</v>
      </c>
      <c r="BQ20" s="16">
        <v>263.572663476581</v>
      </c>
      <c r="BR20" s="102">
        <v>44.8275862068966</v>
      </c>
      <c r="BS20" s="103"/>
      <c r="BT20" s="13" t="s">
        <v>105</v>
      </c>
      <c r="BU20" s="12">
        <v>45695</v>
      </c>
      <c r="BV20" s="13" t="s">
        <v>105</v>
      </c>
      <c r="BW20" s="31">
        <v>9.2</v>
      </c>
      <c r="BX20" s="13" t="s">
        <v>103</v>
      </c>
      <c r="BY20" s="13" t="s">
        <v>103</v>
      </c>
      <c r="BZ20" s="13" t="s">
        <v>103</v>
      </c>
    </row>
    <row r="21" spans="1:78">
      <c r="A21" s="12">
        <v>45737</v>
      </c>
      <c r="B21" s="13">
        <v>25030031</v>
      </c>
      <c r="C21" s="13"/>
      <c r="D21" s="13"/>
      <c r="E21" s="13">
        <v>1</v>
      </c>
      <c r="F21" s="13" t="s">
        <v>91</v>
      </c>
      <c r="G21" s="13">
        <v>31</v>
      </c>
      <c r="H21" s="13">
        <v>44</v>
      </c>
      <c r="I21" s="13" t="s">
        <v>120</v>
      </c>
      <c r="J21" s="13" t="s">
        <v>112</v>
      </c>
      <c r="K21" s="13" t="s">
        <v>94</v>
      </c>
      <c r="L21" s="13">
        <v>900</v>
      </c>
      <c r="M21" s="13">
        <v>4</v>
      </c>
      <c r="N21" s="13" t="s">
        <v>103</v>
      </c>
      <c r="O21" s="13">
        <v>81.5</v>
      </c>
      <c r="P21" s="31">
        <v>1.68</v>
      </c>
      <c r="Q21" s="16">
        <v>28.8761337868481</v>
      </c>
      <c r="R21" s="13">
        <v>80.5</v>
      </c>
      <c r="S21" s="13" t="s">
        <v>95</v>
      </c>
      <c r="T21" s="13">
        <v>211</v>
      </c>
      <c r="U21" s="13">
        <v>4983</v>
      </c>
      <c r="V21" s="16">
        <v>3.00020068231989</v>
      </c>
      <c r="W21" s="87">
        <v>14212</v>
      </c>
      <c r="X21" s="13">
        <v>14950</v>
      </c>
      <c r="Y21" s="13">
        <v>738</v>
      </c>
      <c r="Z21" s="13">
        <v>207</v>
      </c>
      <c r="AA21" s="13">
        <v>200.9</v>
      </c>
      <c r="AB21" s="13" t="s">
        <v>96</v>
      </c>
      <c r="AC21" s="13" t="s">
        <v>97</v>
      </c>
      <c r="AD21" s="13" t="s">
        <v>122</v>
      </c>
      <c r="AE21" s="13">
        <v>55</v>
      </c>
      <c r="AF21" s="13">
        <v>67.5</v>
      </c>
      <c r="AG21" s="13">
        <v>80</v>
      </c>
      <c r="AH21" s="13" t="s">
        <v>99</v>
      </c>
      <c r="AI21" s="13" t="s">
        <v>100</v>
      </c>
      <c r="AJ21" s="13" t="s">
        <v>101</v>
      </c>
      <c r="AK21" s="13" t="s">
        <v>102</v>
      </c>
      <c r="AL21" s="13" t="s">
        <v>102</v>
      </c>
      <c r="AM21" s="13" t="s">
        <v>100</v>
      </c>
      <c r="AN21" s="13" t="s">
        <v>101</v>
      </c>
      <c r="AO21" s="13" t="s">
        <v>102</v>
      </c>
      <c r="AP21" s="13">
        <v>103.9</v>
      </c>
      <c r="AQ21" s="13">
        <v>66.87</v>
      </c>
      <c r="AR21" s="13">
        <v>18.7</v>
      </c>
      <c r="AS21" s="16">
        <v>12.50469</v>
      </c>
      <c r="AT21" s="13">
        <v>42.2</v>
      </c>
      <c r="AU21" s="13">
        <v>229</v>
      </c>
      <c r="AV21" s="13">
        <v>499.4</v>
      </c>
      <c r="AW21" s="13">
        <v>77.6</v>
      </c>
      <c r="AX21" s="16">
        <v>387.5344</v>
      </c>
      <c r="AY21" s="31">
        <v>4.6</v>
      </c>
      <c r="AZ21" s="13">
        <v>0.57</v>
      </c>
      <c r="BA21" s="13">
        <v>3336</v>
      </c>
      <c r="BB21" s="13">
        <v>53.52</v>
      </c>
      <c r="BC21" s="13">
        <v>13.6</v>
      </c>
      <c r="BD21" s="16">
        <v>7.27872</v>
      </c>
      <c r="BE21" s="13">
        <v>43.9</v>
      </c>
      <c r="BF21" s="13">
        <v>133</v>
      </c>
      <c r="BG21" s="31"/>
      <c r="BH21" s="13">
        <v>176.5</v>
      </c>
      <c r="BI21" s="31">
        <v>5656.2</v>
      </c>
      <c r="BJ21" s="31">
        <v>1136.3</v>
      </c>
      <c r="BK21" s="13">
        <v>14.1</v>
      </c>
      <c r="BL21" s="13">
        <v>515556</v>
      </c>
      <c r="BM21" s="31">
        <v>98.5</v>
      </c>
      <c r="BN21" s="13" t="s">
        <v>103</v>
      </c>
      <c r="BO21" s="16">
        <v>14.212</v>
      </c>
      <c r="BP21" s="16">
        <v>45.2994676325876</v>
      </c>
      <c r="BQ21" s="16">
        <v>218.063074375361</v>
      </c>
      <c r="BR21" s="102">
        <v>41.9213973799127</v>
      </c>
      <c r="BS21" s="13"/>
      <c r="BT21" s="13" t="s">
        <v>105</v>
      </c>
      <c r="BU21" s="12">
        <v>45738</v>
      </c>
      <c r="BV21" s="13" t="s">
        <v>105</v>
      </c>
      <c r="BW21" s="31">
        <v>8</v>
      </c>
      <c r="BX21" s="13" t="s">
        <v>103</v>
      </c>
      <c r="BY21" s="103"/>
      <c r="BZ21" s="103"/>
    </row>
    <row r="22" spans="22:63">
      <c r="V22" s="88">
        <f>MEDIAN(V19:V21)</f>
        <v>3.5002116850127</v>
      </c>
      <c r="BK22">
        <f>MEDIAN(BK19:BK21)</f>
        <v>9.2</v>
      </c>
    </row>
    <row r="23" ht="15.75"/>
    <row r="24" ht="51.75" spans="1:78">
      <c r="A24" s="8" t="s">
        <v>0</v>
      </c>
      <c r="B24" s="9" t="s">
        <v>1</v>
      </c>
      <c r="C24" s="9" t="s">
        <v>2</v>
      </c>
      <c r="D24" s="9" t="s">
        <v>3</v>
      </c>
      <c r="E24" s="9" t="s">
        <v>4</v>
      </c>
      <c r="F24" s="9" t="s">
        <v>5</v>
      </c>
      <c r="G24" s="9" t="s">
        <v>6</v>
      </c>
      <c r="H24" s="9" t="s">
        <v>7</v>
      </c>
      <c r="I24" s="9" t="s">
        <v>8</v>
      </c>
      <c r="J24" s="9" t="s">
        <v>9</v>
      </c>
      <c r="K24" s="9" t="s">
        <v>10</v>
      </c>
      <c r="L24" s="9" t="s">
        <v>11</v>
      </c>
      <c r="M24" s="9" t="s">
        <v>12</v>
      </c>
      <c r="N24" s="9" t="s">
        <v>13</v>
      </c>
      <c r="O24" s="9" t="s">
        <v>14</v>
      </c>
      <c r="P24" s="18" t="s">
        <v>15</v>
      </c>
      <c r="Q24" s="14" t="s">
        <v>16</v>
      </c>
      <c r="R24" s="9" t="s">
        <v>17</v>
      </c>
      <c r="S24" s="9" t="s">
        <v>18</v>
      </c>
      <c r="T24" s="9" t="s">
        <v>19</v>
      </c>
      <c r="U24" s="9" t="s">
        <v>20</v>
      </c>
      <c r="V24" s="34" t="s">
        <v>21</v>
      </c>
      <c r="W24" s="85" t="s">
        <v>22</v>
      </c>
      <c r="X24" s="9" t="s">
        <v>23</v>
      </c>
      <c r="Y24" s="9" t="s">
        <v>24</v>
      </c>
      <c r="Z24" s="9" t="s">
        <v>25</v>
      </c>
      <c r="AA24" s="18" t="s">
        <v>26</v>
      </c>
      <c r="AB24" s="21" t="s">
        <v>27</v>
      </c>
      <c r="AC24" s="22" t="s">
        <v>28</v>
      </c>
      <c r="AD24" s="23" t="s">
        <v>29</v>
      </c>
      <c r="AE24" s="24" t="s">
        <v>30</v>
      </c>
      <c r="AF24" s="24" t="s">
        <v>31</v>
      </c>
      <c r="AG24" s="24" t="s">
        <v>32</v>
      </c>
      <c r="AH24" s="24" t="s">
        <v>33</v>
      </c>
      <c r="AI24" s="33" t="s">
        <v>34</v>
      </c>
      <c r="AJ24" s="33" t="s">
        <v>35</v>
      </c>
      <c r="AK24" s="33" t="s">
        <v>36</v>
      </c>
      <c r="AL24" s="33" t="s">
        <v>37</v>
      </c>
      <c r="AM24" s="89" t="s">
        <v>38</v>
      </c>
      <c r="AN24" s="89" t="s">
        <v>39</v>
      </c>
      <c r="AO24" s="89" t="s">
        <v>40</v>
      </c>
      <c r="AP24" s="89" t="s">
        <v>41</v>
      </c>
      <c r="AQ24" s="25" t="s">
        <v>42</v>
      </c>
      <c r="AR24" s="25" t="s">
        <v>43</v>
      </c>
      <c r="AS24" s="90" t="s">
        <v>44</v>
      </c>
      <c r="AT24" s="25" t="s">
        <v>45</v>
      </c>
      <c r="AU24" s="25" t="s">
        <v>46</v>
      </c>
      <c r="AV24" s="27" t="s">
        <v>47</v>
      </c>
      <c r="AW24" s="27" t="s">
        <v>48</v>
      </c>
      <c r="AX24" s="91" t="s">
        <v>49</v>
      </c>
      <c r="AY24" s="29" t="s">
        <v>51</v>
      </c>
      <c r="AZ24" s="27" t="s">
        <v>52</v>
      </c>
      <c r="BA24" s="27" t="s">
        <v>53</v>
      </c>
      <c r="BB24" s="92" t="s">
        <v>54</v>
      </c>
      <c r="BC24" s="92" t="s">
        <v>55</v>
      </c>
      <c r="BD24" s="91" t="s">
        <v>56</v>
      </c>
      <c r="BE24" s="93" t="s">
        <v>57</v>
      </c>
      <c r="BF24" s="92" t="s">
        <v>58</v>
      </c>
      <c r="BG24" s="94" t="s">
        <v>59</v>
      </c>
      <c r="BH24" s="95" t="s">
        <v>60</v>
      </c>
      <c r="BI24" s="96" t="s">
        <v>61</v>
      </c>
      <c r="BJ24" s="96" t="s">
        <v>62</v>
      </c>
      <c r="BK24" s="96" t="s">
        <v>63</v>
      </c>
      <c r="BL24" s="96" t="s">
        <v>64</v>
      </c>
      <c r="BM24" s="96" t="s">
        <v>65</v>
      </c>
      <c r="BN24" s="98" t="s">
        <v>66</v>
      </c>
      <c r="BO24" s="99" t="s">
        <v>67</v>
      </c>
      <c r="BP24" s="99" t="s">
        <v>68</v>
      </c>
      <c r="BQ24" s="99" t="s">
        <v>69</v>
      </c>
      <c r="BR24" s="100" t="s">
        <v>70</v>
      </c>
      <c r="BS24" s="101" t="s">
        <v>71</v>
      </c>
      <c r="BT24" s="24" t="s">
        <v>72</v>
      </c>
      <c r="BU24" s="24" t="s">
        <v>73</v>
      </c>
      <c r="BV24" s="24" t="s">
        <v>74</v>
      </c>
      <c r="BW24" s="104" t="s">
        <v>75</v>
      </c>
      <c r="BX24" s="105" t="s">
        <v>76</v>
      </c>
      <c r="BY24" s="106" t="s">
        <v>77</v>
      </c>
      <c r="BZ24" s="106" t="s">
        <v>78</v>
      </c>
    </row>
    <row r="25" spans="1:78">
      <c r="A25" s="12">
        <v>45680</v>
      </c>
      <c r="B25" s="13">
        <v>25010066</v>
      </c>
      <c r="C25" s="13"/>
      <c r="D25" s="13"/>
      <c r="E25" s="13">
        <v>1</v>
      </c>
      <c r="F25" s="13" t="s">
        <v>91</v>
      </c>
      <c r="G25" s="13">
        <v>29</v>
      </c>
      <c r="H25" s="13">
        <v>59</v>
      </c>
      <c r="I25" s="13" t="s">
        <v>124</v>
      </c>
      <c r="J25" s="13" t="s">
        <v>125</v>
      </c>
      <c r="K25" s="13" t="s">
        <v>94</v>
      </c>
      <c r="L25" s="13">
        <v>900</v>
      </c>
      <c r="M25" s="13">
        <v>4</v>
      </c>
      <c r="N25" s="13" t="s">
        <v>103</v>
      </c>
      <c r="O25" s="13">
        <v>85</v>
      </c>
      <c r="P25" s="31">
        <v>1.82</v>
      </c>
      <c r="Q25" s="16">
        <v>25.6611520347784</v>
      </c>
      <c r="R25" s="13">
        <v>87</v>
      </c>
      <c r="S25" s="13" t="s">
        <v>95</v>
      </c>
      <c r="T25" s="13">
        <v>300</v>
      </c>
      <c r="U25" s="13">
        <v>5552</v>
      </c>
      <c r="V25" s="16">
        <v>4.50018011527377</v>
      </c>
      <c r="W25" s="87">
        <v>23771</v>
      </c>
      <c r="X25" s="13">
        <v>24985</v>
      </c>
      <c r="Y25" s="13">
        <v>1214</v>
      </c>
      <c r="Z25" s="13">
        <v>269</v>
      </c>
      <c r="AA25" s="13">
        <v>263.1</v>
      </c>
      <c r="AB25" s="13" t="s">
        <v>96</v>
      </c>
      <c r="AC25" s="13" t="s">
        <v>121</v>
      </c>
      <c r="AD25" s="13" t="s">
        <v>98</v>
      </c>
      <c r="AE25" s="13">
        <v>80</v>
      </c>
      <c r="AF25" s="13">
        <v>90</v>
      </c>
      <c r="AG25" s="13">
        <v>90</v>
      </c>
      <c r="AH25" s="13" t="s">
        <v>126</v>
      </c>
      <c r="AI25" s="13" t="s">
        <v>100</v>
      </c>
      <c r="AJ25" s="13" t="s">
        <v>101</v>
      </c>
      <c r="AK25" s="13" t="s">
        <v>102</v>
      </c>
      <c r="AL25" s="13">
        <v>119.4</v>
      </c>
      <c r="AM25" s="13" t="s">
        <v>100</v>
      </c>
      <c r="AN25" s="13" t="s">
        <v>101</v>
      </c>
      <c r="AO25" s="11">
        <v>7.4</v>
      </c>
      <c r="AP25" s="13">
        <v>91.9</v>
      </c>
      <c r="AQ25" s="13">
        <v>55.96</v>
      </c>
      <c r="AR25" s="13">
        <v>19</v>
      </c>
      <c r="AS25" s="16">
        <v>10.6324</v>
      </c>
      <c r="AT25" s="13">
        <v>49</v>
      </c>
      <c r="AU25" s="13">
        <v>142</v>
      </c>
      <c r="AV25" s="13">
        <v>421.14</v>
      </c>
      <c r="AW25" s="13">
        <v>79.7</v>
      </c>
      <c r="AX25" s="16">
        <v>335.64858</v>
      </c>
      <c r="AY25" s="31">
        <v>4.1</v>
      </c>
      <c r="AZ25" s="13">
        <v>0.6</v>
      </c>
      <c r="BA25" s="13">
        <v>2609</v>
      </c>
      <c r="BB25" s="13">
        <v>42.02</v>
      </c>
      <c r="BC25" s="13">
        <v>12</v>
      </c>
      <c r="BD25" s="16">
        <v>5.0424</v>
      </c>
      <c r="BE25" s="13">
        <v>49.7</v>
      </c>
      <c r="BF25" s="13">
        <v>44</v>
      </c>
      <c r="BG25" s="31">
        <v>49.8</v>
      </c>
      <c r="BH25" s="13">
        <v>78.4</v>
      </c>
      <c r="BI25" s="31">
        <v>2473</v>
      </c>
      <c r="BJ25" s="31">
        <v>650.6</v>
      </c>
      <c r="BK25" s="13">
        <v>7.4</v>
      </c>
      <c r="BL25" s="13">
        <v>412650</v>
      </c>
      <c r="BM25" s="31">
        <v>99.2</v>
      </c>
      <c r="BN25" s="13" t="s">
        <v>103</v>
      </c>
      <c r="BO25" s="16">
        <v>23.771</v>
      </c>
      <c r="BP25" s="16">
        <v>34.910055899016</v>
      </c>
      <c r="BQ25" s="16">
        <v>132.802440278923</v>
      </c>
      <c r="BR25" s="102">
        <v>69.0140845070423</v>
      </c>
      <c r="BS25" s="103"/>
      <c r="BT25" s="13" t="s">
        <v>105</v>
      </c>
      <c r="BU25" s="12">
        <v>45682</v>
      </c>
      <c r="BV25" s="13" t="s">
        <v>105</v>
      </c>
      <c r="BW25" s="31">
        <v>7.4</v>
      </c>
      <c r="BX25" s="13" t="s">
        <v>103</v>
      </c>
      <c r="BY25" s="13" t="s">
        <v>103</v>
      </c>
      <c r="BZ25" s="13" t="s">
        <v>103</v>
      </c>
    </row>
    <row r="26" spans="1:78">
      <c r="A26" s="12">
        <v>45729</v>
      </c>
      <c r="B26" s="13">
        <v>25030012</v>
      </c>
      <c r="C26" s="13"/>
      <c r="D26" s="13"/>
      <c r="E26" s="13">
        <v>1</v>
      </c>
      <c r="F26" s="13" t="s">
        <v>91</v>
      </c>
      <c r="G26" s="13">
        <v>45</v>
      </c>
      <c r="H26" s="13">
        <v>6</v>
      </c>
      <c r="I26" s="13" t="s">
        <v>124</v>
      </c>
      <c r="J26" s="13" t="s">
        <v>125</v>
      </c>
      <c r="K26" s="13" t="s">
        <v>116</v>
      </c>
      <c r="L26" s="13">
        <v>1200</v>
      </c>
      <c r="M26" s="13">
        <v>4</v>
      </c>
      <c r="N26" s="13" t="s">
        <v>103</v>
      </c>
      <c r="O26" s="13">
        <v>131</v>
      </c>
      <c r="P26" s="31">
        <v>1.7</v>
      </c>
      <c r="Q26" s="16">
        <v>45.3287197231834</v>
      </c>
      <c r="R26" s="13">
        <v>20</v>
      </c>
      <c r="S26" s="13" t="s">
        <v>95</v>
      </c>
      <c r="T26" s="13">
        <v>158</v>
      </c>
      <c r="U26" s="13">
        <v>6624</v>
      </c>
      <c r="V26" s="16">
        <v>1.50015096618357</v>
      </c>
      <c r="W26" s="87">
        <v>9440</v>
      </c>
      <c r="X26" s="13">
        <v>9937</v>
      </c>
      <c r="Y26" s="13">
        <v>497</v>
      </c>
      <c r="Z26" s="13">
        <v>124</v>
      </c>
      <c r="AA26" s="13">
        <v>132.79</v>
      </c>
      <c r="AB26" s="13" t="s">
        <v>96</v>
      </c>
      <c r="AC26" s="13" t="s">
        <v>97</v>
      </c>
      <c r="AD26" s="13" t="s">
        <v>122</v>
      </c>
      <c r="AE26" s="13">
        <v>55</v>
      </c>
      <c r="AF26" s="13">
        <v>66</v>
      </c>
      <c r="AG26" s="13">
        <v>77</v>
      </c>
      <c r="AH26" s="13" t="s">
        <v>134</v>
      </c>
      <c r="AI26" s="13" t="s">
        <v>123</v>
      </c>
      <c r="AJ26" s="13" t="s">
        <v>101</v>
      </c>
      <c r="AK26" s="13" t="s">
        <v>102</v>
      </c>
      <c r="AL26" s="13">
        <v>205.3</v>
      </c>
      <c r="AM26" s="13" t="s">
        <v>100</v>
      </c>
      <c r="AN26" s="13" t="s">
        <v>101</v>
      </c>
      <c r="AO26" s="13" t="s">
        <v>102</v>
      </c>
      <c r="AP26" s="13">
        <v>8.6</v>
      </c>
      <c r="AQ26" s="13">
        <v>71.4</v>
      </c>
      <c r="AR26" s="13">
        <v>17</v>
      </c>
      <c r="AS26" s="16">
        <v>12.138</v>
      </c>
      <c r="AT26" s="13">
        <v>43.3</v>
      </c>
      <c r="AU26" s="13">
        <v>270</v>
      </c>
      <c r="AV26" s="13">
        <v>566.6</v>
      </c>
      <c r="AW26" s="13">
        <v>80.8</v>
      </c>
      <c r="AX26" s="16">
        <v>457.8128</v>
      </c>
      <c r="AY26" s="31">
        <v>6.2</v>
      </c>
      <c r="AZ26" s="13">
        <v>0.92</v>
      </c>
      <c r="BA26" s="13">
        <v>4420</v>
      </c>
      <c r="BB26" s="13">
        <v>64.81</v>
      </c>
      <c r="BC26" s="13">
        <v>13.4</v>
      </c>
      <c r="BD26" s="16">
        <v>8.68454</v>
      </c>
      <c r="BE26" s="13">
        <v>44.8</v>
      </c>
      <c r="BF26" s="13">
        <v>213</v>
      </c>
      <c r="BG26" s="31"/>
      <c r="BH26" s="13">
        <v>108.3</v>
      </c>
      <c r="BI26" s="31">
        <v>5289.7</v>
      </c>
      <c r="BJ26" s="31">
        <v>702.4</v>
      </c>
      <c r="BK26" s="13">
        <v>35.1</v>
      </c>
      <c r="BL26" s="13">
        <v>562617</v>
      </c>
      <c r="BM26" s="31">
        <v>99.2</v>
      </c>
      <c r="BN26" s="13" t="s">
        <v>103</v>
      </c>
      <c r="BO26" s="16">
        <v>9.44</v>
      </c>
      <c r="BP26" s="16">
        <v>68.7043210166361</v>
      </c>
      <c r="BQ26" s="16">
        <v>399.547855034337</v>
      </c>
      <c r="BR26" s="102">
        <v>21.1111111111111</v>
      </c>
      <c r="BS26" s="13"/>
      <c r="BT26" s="13" t="s">
        <v>105</v>
      </c>
      <c r="BU26" s="12">
        <v>45731</v>
      </c>
      <c r="BV26" s="13" t="s">
        <v>105</v>
      </c>
      <c r="BW26" s="31">
        <v>10</v>
      </c>
      <c r="BX26" s="13" t="s">
        <v>103</v>
      </c>
      <c r="BY26" s="13" t="s">
        <v>103</v>
      </c>
      <c r="BZ26" s="13" t="s">
        <v>103</v>
      </c>
    </row>
    <row r="27" spans="1:78">
      <c r="A27" s="12">
        <v>45729</v>
      </c>
      <c r="B27" s="13">
        <v>25030013</v>
      </c>
      <c r="C27" s="13"/>
      <c r="D27" s="13"/>
      <c r="E27" s="13">
        <v>1</v>
      </c>
      <c r="F27" s="13" t="s">
        <v>91</v>
      </c>
      <c r="G27" s="13">
        <v>26</v>
      </c>
      <c r="H27" s="13">
        <v>5</v>
      </c>
      <c r="I27" s="13" t="s">
        <v>124</v>
      </c>
      <c r="J27" s="13" t="s">
        <v>125</v>
      </c>
      <c r="K27" s="13" t="s">
        <v>135</v>
      </c>
      <c r="L27" s="13">
        <v>900</v>
      </c>
      <c r="M27" s="13">
        <v>4</v>
      </c>
      <c r="N27" s="13" t="s">
        <v>103</v>
      </c>
      <c r="O27" s="13">
        <v>89</v>
      </c>
      <c r="P27" s="31">
        <v>1.7</v>
      </c>
      <c r="Q27" s="16">
        <v>30.7958477508651</v>
      </c>
      <c r="R27" s="13">
        <v>20</v>
      </c>
      <c r="S27" s="13" t="s">
        <v>95</v>
      </c>
      <c r="T27" s="13">
        <v>128</v>
      </c>
      <c r="U27" s="13">
        <v>5272</v>
      </c>
      <c r="V27" s="16">
        <v>1.50018968133536</v>
      </c>
      <c r="W27" s="87">
        <v>7515</v>
      </c>
      <c r="X27" s="13">
        <v>7909</v>
      </c>
      <c r="Y27" s="13">
        <v>394</v>
      </c>
      <c r="Z27" s="13">
        <v>114</v>
      </c>
      <c r="AA27" s="13">
        <v>108.7</v>
      </c>
      <c r="AB27" s="13" t="s">
        <v>96</v>
      </c>
      <c r="AC27" s="13" t="s">
        <v>121</v>
      </c>
      <c r="AD27" s="13" t="s">
        <v>122</v>
      </c>
      <c r="AE27" s="13">
        <v>50</v>
      </c>
      <c r="AF27" s="13">
        <v>65</v>
      </c>
      <c r="AG27" s="13">
        <v>80</v>
      </c>
      <c r="AH27" s="13" t="s">
        <v>99</v>
      </c>
      <c r="AI27" s="13" t="s">
        <v>100</v>
      </c>
      <c r="AJ27" s="13" t="s">
        <v>101</v>
      </c>
      <c r="AK27" s="13" t="s">
        <v>102</v>
      </c>
      <c r="AL27" s="13">
        <v>160.3</v>
      </c>
      <c r="AM27" s="13" t="s">
        <v>100</v>
      </c>
      <c r="AN27" s="13" t="s">
        <v>101</v>
      </c>
      <c r="AO27" s="13" t="s">
        <v>102</v>
      </c>
      <c r="AP27" s="13" t="s">
        <v>102</v>
      </c>
      <c r="AQ27" s="13">
        <v>72.63</v>
      </c>
      <c r="AR27" s="13">
        <v>23.6</v>
      </c>
      <c r="AS27" s="16">
        <v>17.14068</v>
      </c>
      <c r="AT27" s="13">
        <v>45</v>
      </c>
      <c r="AU27" s="13">
        <v>268</v>
      </c>
      <c r="AV27" s="13">
        <v>683</v>
      </c>
      <c r="AW27" s="13">
        <v>79.1</v>
      </c>
      <c r="AX27" s="16">
        <v>540.253</v>
      </c>
      <c r="AY27" s="31">
        <v>4.9</v>
      </c>
      <c r="AZ27" s="13">
        <v>0.51</v>
      </c>
      <c r="BA27" s="13">
        <v>4080</v>
      </c>
      <c r="BB27" s="13">
        <v>63.23</v>
      </c>
      <c r="BC27" s="13">
        <v>18.9</v>
      </c>
      <c r="BD27" s="16">
        <v>11.95047</v>
      </c>
      <c r="BE27" s="13">
        <v>45.2</v>
      </c>
      <c r="BF27" s="13">
        <v>175</v>
      </c>
      <c r="BG27" s="31"/>
      <c r="BH27" s="13">
        <v>171.7</v>
      </c>
      <c r="BI27" s="31">
        <v>8174</v>
      </c>
      <c r="BJ27" s="31">
        <v>888.5</v>
      </c>
      <c r="BK27" s="13">
        <v>44.4</v>
      </c>
      <c r="BL27" s="13">
        <v>643214</v>
      </c>
      <c r="BM27" s="31">
        <v>99</v>
      </c>
      <c r="BN27" s="13" t="s">
        <v>103</v>
      </c>
      <c r="BO27" s="16">
        <v>7.515</v>
      </c>
      <c r="BP27" s="16">
        <v>68.8585942074306</v>
      </c>
      <c r="BQ27" s="16">
        <v>419.411326892984</v>
      </c>
      <c r="BR27" s="102">
        <v>34.7014925373134</v>
      </c>
      <c r="BS27" s="13"/>
      <c r="BT27" s="13" t="s">
        <v>105</v>
      </c>
      <c r="BU27" s="12">
        <v>45731</v>
      </c>
      <c r="BV27" s="13" t="s">
        <v>105</v>
      </c>
      <c r="BW27" s="31">
        <v>10</v>
      </c>
      <c r="BX27" s="13" t="s">
        <v>103</v>
      </c>
      <c r="BY27" s="13" t="s">
        <v>103</v>
      </c>
      <c r="BZ27" s="13" t="s">
        <v>103</v>
      </c>
    </row>
    <row r="28" spans="22:63">
      <c r="V28" s="88">
        <f>MEDIAN(V25:V27)</f>
        <v>1.50018968133536</v>
      </c>
      <c r="BK28">
        <f>MEDIAN(BK25:BK27)</f>
        <v>35.1</v>
      </c>
    </row>
    <row r="30" ht="15.75"/>
    <row r="31" s="83" customFormat="1" ht="51.75" spans="1:89">
      <c r="A31" s="8" t="s">
        <v>0</v>
      </c>
      <c r="B31" s="9" t="s">
        <v>1</v>
      </c>
      <c r="C31" s="9" t="s">
        <v>2</v>
      </c>
      <c r="D31" s="9" t="s">
        <v>3</v>
      </c>
      <c r="E31" s="9" t="s">
        <v>4</v>
      </c>
      <c r="F31" s="9" t="s">
        <v>5</v>
      </c>
      <c r="G31" s="9" t="s">
        <v>6</v>
      </c>
      <c r="H31" s="9" t="s">
        <v>7</v>
      </c>
      <c r="I31" s="9" t="s">
        <v>8</v>
      </c>
      <c r="J31" s="9" t="s">
        <v>9</v>
      </c>
      <c r="K31" s="9" t="s">
        <v>10</v>
      </c>
      <c r="L31" s="9" t="s">
        <v>11</v>
      </c>
      <c r="M31" s="9" t="s">
        <v>12</v>
      </c>
      <c r="N31" s="9" t="s">
        <v>13</v>
      </c>
      <c r="O31" s="9" t="s">
        <v>14</v>
      </c>
      <c r="P31" s="18" t="s">
        <v>15</v>
      </c>
      <c r="Q31" s="14" t="s">
        <v>16</v>
      </c>
      <c r="R31" s="9" t="s">
        <v>17</v>
      </c>
      <c r="S31" s="9" t="s">
        <v>18</v>
      </c>
      <c r="T31" s="9" t="s">
        <v>19</v>
      </c>
      <c r="U31" s="9" t="s">
        <v>20</v>
      </c>
      <c r="V31" s="34" t="s">
        <v>21</v>
      </c>
      <c r="W31" s="85" t="s">
        <v>22</v>
      </c>
      <c r="X31" s="9" t="s">
        <v>23</v>
      </c>
      <c r="Y31" s="9" t="s">
        <v>24</v>
      </c>
      <c r="Z31" s="9" t="s">
        <v>25</v>
      </c>
      <c r="AA31" s="18" t="s">
        <v>26</v>
      </c>
      <c r="AB31" s="21" t="s">
        <v>27</v>
      </c>
      <c r="AC31" s="22" t="s">
        <v>28</v>
      </c>
      <c r="AD31" s="23" t="s">
        <v>29</v>
      </c>
      <c r="AE31" s="24" t="s">
        <v>30</v>
      </c>
      <c r="AF31" s="24" t="s">
        <v>31</v>
      </c>
      <c r="AG31" s="24" t="s">
        <v>32</v>
      </c>
      <c r="AH31" s="24" t="s">
        <v>33</v>
      </c>
      <c r="AI31" s="33" t="s">
        <v>34</v>
      </c>
      <c r="AJ31" s="33" t="s">
        <v>35</v>
      </c>
      <c r="AK31" s="33" t="s">
        <v>36</v>
      </c>
      <c r="AL31" s="33" t="s">
        <v>37</v>
      </c>
      <c r="AM31" s="89" t="s">
        <v>38</v>
      </c>
      <c r="AN31" s="89" t="s">
        <v>39</v>
      </c>
      <c r="AO31" s="89" t="s">
        <v>40</v>
      </c>
      <c r="AP31" s="89" t="s">
        <v>41</v>
      </c>
      <c r="AQ31" s="25" t="s">
        <v>42</v>
      </c>
      <c r="AR31" s="25" t="s">
        <v>43</v>
      </c>
      <c r="AS31" s="90" t="s">
        <v>44</v>
      </c>
      <c r="AT31" s="25" t="s">
        <v>45</v>
      </c>
      <c r="AU31" s="25" t="s">
        <v>46</v>
      </c>
      <c r="AV31" s="27" t="s">
        <v>47</v>
      </c>
      <c r="AW31" s="27" t="s">
        <v>48</v>
      </c>
      <c r="AX31" s="91" t="s">
        <v>49</v>
      </c>
      <c r="AY31" s="29" t="s">
        <v>51</v>
      </c>
      <c r="AZ31" s="27" t="s">
        <v>52</v>
      </c>
      <c r="BA31" s="27" t="s">
        <v>53</v>
      </c>
      <c r="BB31" s="92" t="s">
        <v>54</v>
      </c>
      <c r="BC31" s="92" t="s">
        <v>55</v>
      </c>
      <c r="BD31" s="91" t="s">
        <v>56</v>
      </c>
      <c r="BE31" s="93" t="s">
        <v>57</v>
      </c>
      <c r="BF31" s="92" t="s">
        <v>58</v>
      </c>
      <c r="BG31" s="94" t="s">
        <v>59</v>
      </c>
      <c r="BH31" s="95" t="s">
        <v>60</v>
      </c>
      <c r="BI31" s="96" t="s">
        <v>61</v>
      </c>
      <c r="BJ31" s="96" t="s">
        <v>62</v>
      </c>
      <c r="BK31" s="96" t="s">
        <v>63</v>
      </c>
      <c r="BL31" s="96" t="s">
        <v>64</v>
      </c>
      <c r="BM31" s="96" t="s">
        <v>65</v>
      </c>
      <c r="BN31" s="98" t="s">
        <v>66</v>
      </c>
      <c r="BO31" s="99" t="s">
        <v>67</v>
      </c>
      <c r="BP31" s="99" t="s">
        <v>68</v>
      </c>
      <c r="BQ31" s="99" t="s">
        <v>69</v>
      </c>
      <c r="BR31" s="100" t="s">
        <v>70</v>
      </c>
      <c r="BS31" s="101" t="s">
        <v>71</v>
      </c>
      <c r="BT31" s="24" t="s">
        <v>72</v>
      </c>
      <c r="BU31" s="24" t="s">
        <v>73</v>
      </c>
      <c r="BV31" s="24" t="s">
        <v>74</v>
      </c>
      <c r="BW31" s="104" t="s">
        <v>75</v>
      </c>
      <c r="BX31" s="105" t="s">
        <v>76</v>
      </c>
      <c r="BY31" s="106" t="s">
        <v>77</v>
      </c>
      <c r="BZ31" s="106" t="s">
        <v>78</v>
      </c>
      <c r="CA31" s="107" t="s">
        <v>79</v>
      </c>
      <c r="CB31" s="107" t="s">
        <v>80</v>
      </c>
      <c r="CC31" s="107" t="s">
        <v>81</v>
      </c>
      <c r="CD31" s="107" t="s">
        <v>82</v>
      </c>
      <c r="CE31" s="108" t="s">
        <v>84</v>
      </c>
      <c r="CF31" s="108" t="s">
        <v>85</v>
      </c>
      <c r="CG31" s="107" t="s">
        <v>86</v>
      </c>
      <c r="CH31" s="109" t="s">
        <v>87</v>
      </c>
      <c r="CI31" s="107" t="s">
        <v>88</v>
      </c>
      <c r="CJ31" s="110" t="s">
        <v>89</v>
      </c>
      <c r="CK31" s="111" t="s">
        <v>90</v>
      </c>
    </row>
    <row r="32" s="13" customFormat="1" ht="12.75" spans="1:78">
      <c r="A32" s="12">
        <v>45805</v>
      </c>
      <c r="B32" s="13">
        <v>25050039</v>
      </c>
      <c r="C32" s="13"/>
      <c r="D32" s="13"/>
      <c r="E32" s="13">
        <v>1</v>
      </c>
      <c r="F32" s="13" t="s">
        <v>91</v>
      </c>
      <c r="G32" s="13">
        <v>48</v>
      </c>
      <c r="H32" s="13">
        <v>48</v>
      </c>
      <c r="I32" s="13" t="s">
        <v>92</v>
      </c>
      <c r="J32" s="13" t="s">
        <v>93</v>
      </c>
      <c r="P32" s="31"/>
      <c r="Q32" s="16"/>
      <c r="U32" s="13">
        <v>5699</v>
      </c>
      <c r="V32" s="16">
        <v>3.00017546938059</v>
      </c>
      <c r="W32" s="87">
        <v>16248</v>
      </c>
      <c r="X32" s="13">
        <v>17098</v>
      </c>
      <c r="Y32" s="13">
        <v>850</v>
      </c>
      <c r="Z32" s="13">
        <v>297</v>
      </c>
      <c r="AD32" s="13" t="s">
        <v>122</v>
      </c>
      <c r="AH32" s="13" t="s">
        <v>99</v>
      </c>
      <c r="AI32" s="13" t="s">
        <v>100</v>
      </c>
      <c r="AJ32" s="13" t="s">
        <v>101</v>
      </c>
      <c r="AK32" s="13" t="s">
        <v>102</v>
      </c>
      <c r="AL32" s="13" t="s">
        <v>113</v>
      </c>
      <c r="AM32" s="13" t="s">
        <v>100</v>
      </c>
      <c r="AN32" s="13" t="s">
        <v>101</v>
      </c>
      <c r="AO32" s="13" t="s">
        <v>102</v>
      </c>
      <c r="AP32" s="13" t="s">
        <v>113</v>
      </c>
      <c r="AS32" s="16"/>
      <c r="AX32" s="16"/>
      <c r="AY32" s="31"/>
      <c r="BD32" s="16"/>
      <c r="BG32" s="31"/>
      <c r="BI32" s="31"/>
      <c r="BJ32" s="31"/>
      <c r="BK32" s="13">
        <v>4</v>
      </c>
      <c r="BM32" s="31"/>
      <c r="BO32" s="16">
        <v>16.248</v>
      </c>
      <c r="BP32" s="16"/>
      <c r="BQ32" s="16"/>
      <c r="BR32" s="102"/>
      <c r="BS32" s="103"/>
      <c r="BT32" s="13" t="s">
        <v>105</v>
      </c>
      <c r="BU32" s="12">
        <v>45806</v>
      </c>
      <c r="BV32" s="13" t="s">
        <v>105</v>
      </c>
      <c r="BW32" s="31">
        <v>4</v>
      </c>
      <c r="BX32" s="13" t="s">
        <v>103</v>
      </c>
      <c r="BY32" s="13" t="s">
        <v>103</v>
      </c>
      <c r="BZ32" s="13" t="s">
        <v>103</v>
      </c>
    </row>
    <row r="33" s="13" customFormat="1" ht="12.75" spans="1:78">
      <c r="A33" s="12">
        <v>45806</v>
      </c>
      <c r="B33" s="13">
        <v>25050044</v>
      </c>
      <c r="C33" s="13"/>
      <c r="D33" s="13"/>
      <c r="E33" s="13">
        <v>1</v>
      </c>
      <c r="F33" s="13" t="s">
        <v>91</v>
      </c>
      <c r="G33" s="13">
        <v>61</v>
      </c>
      <c r="H33" s="13">
        <v>61</v>
      </c>
      <c r="I33" s="13" t="s">
        <v>92</v>
      </c>
      <c r="J33" s="13" t="s">
        <v>93</v>
      </c>
      <c r="P33" s="31"/>
      <c r="Q33" s="16"/>
      <c r="U33" s="13">
        <v>4768</v>
      </c>
      <c r="V33" s="16">
        <v>3.50020973154362</v>
      </c>
      <c r="W33" s="87">
        <v>15870</v>
      </c>
      <c r="X33" s="13">
        <v>16689</v>
      </c>
      <c r="Y33" s="13">
        <v>819</v>
      </c>
      <c r="AD33" s="13" t="s">
        <v>98</v>
      </c>
      <c r="AH33" s="13" t="s">
        <v>99</v>
      </c>
      <c r="AI33" s="13" t="s">
        <v>110</v>
      </c>
      <c r="AJ33" s="13" t="s">
        <v>101</v>
      </c>
      <c r="AK33" s="13" t="s">
        <v>102</v>
      </c>
      <c r="AL33" s="13" t="s">
        <v>113</v>
      </c>
      <c r="AM33" s="13" t="s">
        <v>110</v>
      </c>
      <c r="AN33" s="13" t="s">
        <v>101</v>
      </c>
      <c r="AO33" s="13" t="s">
        <v>102</v>
      </c>
      <c r="AP33" s="13" t="s">
        <v>113</v>
      </c>
      <c r="AS33" s="16"/>
      <c r="AX33" s="16"/>
      <c r="AY33" s="31"/>
      <c r="BD33" s="16"/>
      <c r="BG33" s="31"/>
      <c r="BI33" s="31"/>
      <c r="BJ33" s="31"/>
      <c r="BK33" s="13">
        <v>7.1</v>
      </c>
      <c r="BM33" s="31"/>
      <c r="BO33" s="16"/>
      <c r="BP33" s="16"/>
      <c r="BQ33" s="16"/>
      <c r="BR33" s="102"/>
      <c r="BS33" s="103"/>
      <c r="BT33" s="13" t="s">
        <v>105</v>
      </c>
      <c r="BU33" s="12">
        <v>45807</v>
      </c>
      <c r="BV33" s="13" t="s">
        <v>105</v>
      </c>
      <c r="BW33" s="31">
        <v>7.1</v>
      </c>
      <c r="BX33" s="13" t="s">
        <v>103</v>
      </c>
      <c r="BY33" s="13" t="s">
        <v>103</v>
      </c>
      <c r="BZ33" s="13" t="s">
        <v>103</v>
      </c>
    </row>
    <row r="34" s="13" customFormat="1" ht="12.75" spans="1:78">
      <c r="A34" s="12">
        <v>45819</v>
      </c>
      <c r="B34" s="13">
        <v>25060032</v>
      </c>
      <c r="C34" s="13"/>
      <c r="D34" s="13"/>
      <c r="E34" s="13">
        <v>1</v>
      </c>
      <c r="F34" s="13" t="s">
        <v>91</v>
      </c>
      <c r="G34" s="13">
        <v>47</v>
      </c>
      <c r="H34" s="13">
        <v>47</v>
      </c>
      <c r="I34" s="13" t="s">
        <v>92</v>
      </c>
      <c r="J34" s="13" t="s">
        <v>93</v>
      </c>
      <c r="P34" s="31"/>
      <c r="Q34" s="16"/>
      <c r="U34" s="13">
        <v>4758</v>
      </c>
      <c r="V34" s="16">
        <v>3.44010088272383</v>
      </c>
      <c r="W34" s="87">
        <v>15566</v>
      </c>
      <c r="X34" s="13">
        <v>16368</v>
      </c>
      <c r="Y34" s="13">
        <v>802</v>
      </c>
      <c r="Z34" s="13">
        <v>224</v>
      </c>
      <c r="AD34" s="13" t="s">
        <v>122</v>
      </c>
      <c r="AH34" s="13" t="s">
        <v>99</v>
      </c>
      <c r="AI34" s="13" t="s">
        <v>100</v>
      </c>
      <c r="AJ34" s="13" t="s">
        <v>101</v>
      </c>
      <c r="AK34" s="13" t="s">
        <v>102</v>
      </c>
      <c r="AL34" s="13" t="s">
        <v>113</v>
      </c>
      <c r="AM34" s="13" t="s">
        <v>100</v>
      </c>
      <c r="AN34" s="13" t="s">
        <v>101</v>
      </c>
      <c r="AO34" s="13" t="s">
        <v>102</v>
      </c>
      <c r="AP34" s="13" t="s">
        <v>113</v>
      </c>
      <c r="AS34" s="16"/>
      <c r="AX34" s="16"/>
      <c r="AY34" s="31"/>
      <c r="BD34" s="16"/>
      <c r="BG34" s="31"/>
      <c r="BI34" s="31"/>
      <c r="BJ34" s="31"/>
      <c r="BK34" s="13">
        <v>10</v>
      </c>
      <c r="BM34" s="31"/>
      <c r="BO34" s="16"/>
      <c r="BP34" s="16"/>
      <c r="BQ34" s="16" t="e">
        <v>#DIV/0!</v>
      </c>
      <c r="BR34" s="102"/>
      <c r="BT34" s="13" t="s">
        <v>105</v>
      </c>
      <c r="BU34" s="12">
        <v>45820</v>
      </c>
      <c r="BV34" s="13" t="s">
        <v>105</v>
      </c>
      <c r="BW34" s="31">
        <v>10</v>
      </c>
      <c r="BX34" s="13" t="s">
        <v>103</v>
      </c>
      <c r="BY34" s="13" t="s">
        <v>103</v>
      </c>
      <c r="BZ34" s="13" t="s">
        <v>103</v>
      </c>
    </row>
    <row r="35" s="13" customFormat="1" ht="12.75" spans="1:78">
      <c r="A35" s="12">
        <v>45826</v>
      </c>
      <c r="B35" s="13">
        <v>25106037</v>
      </c>
      <c r="C35" s="13"/>
      <c r="D35" s="13"/>
      <c r="E35" s="13">
        <v>1</v>
      </c>
      <c r="F35" s="13" t="s">
        <v>111</v>
      </c>
      <c r="G35" s="13">
        <v>62</v>
      </c>
      <c r="H35" s="13">
        <v>62</v>
      </c>
      <c r="I35" s="13" t="s">
        <v>92</v>
      </c>
      <c r="J35" s="13" t="s">
        <v>93</v>
      </c>
      <c r="P35" s="31"/>
      <c r="Q35" s="16"/>
      <c r="U35" s="13">
        <v>3460</v>
      </c>
      <c r="V35" s="16">
        <v>4.58815028901734</v>
      </c>
      <c r="W35" s="87">
        <v>15090</v>
      </c>
      <c r="X35" s="13">
        <v>15875</v>
      </c>
      <c r="Y35" s="13">
        <v>785</v>
      </c>
      <c r="Z35" s="13">
        <v>271</v>
      </c>
      <c r="AD35" s="13" t="s">
        <v>98</v>
      </c>
      <c r="AH35" s="13" t="s">
        <v>99</v>
      </c>
      <c r="AI35" s="13" t="s">
        <v>110</v>
      </c>
      <c r="AJ35" s="13" t="s">
        <v>101</v>
      </c>
      <c r="AK35" s="13" t="s">
        <v>102</v>
      </c>
      <c r="AL35" s="13" t="s">
        <v>113</v>
      </c>
      <c r="AM35" s="13" t="s">
        <v>110</v>
      </c>
      <c r="AN35" s="13" t="s">
        <v>101</v>
      </c>
      <c r="AO35" s="13" t="s">
        <v>102</v>
      </c>
      <c r="AP35" s="13" t="s">
        <v>113</v>
      </c>
      <c r="AS35" s="16"/>
      <c r="AX35" s="16"/>
      <c r="AY35" s="31"/>
      <c r="BD35" s="16"/>
      <c r="BG35" s="31"/>
      <c r="BI35" s="31"/>
      <c r="BJ35" s="31"/>
      <c r="BK35" s="13">
        <v>4.6</v>
      </c>
      <c r="BM35" s="31"/>
      <c r="BO35" s="16"/>
      <c r="BP35" s="16"/>
      <c r="BQ35" s="16"/>
      <c r="BR35" s="102"/>
      <c r="BT35" s="13" t="s">
        <v>105</v>
      </c>
      <c r="BU35" s="12">
        <v>45827</v>
      </c>
      <c r="BV35" s="13" t="s">
        <v>105</v>
      </c>
      <c r="BW35" s="31">
        <v>4.6</v>
      </c>
      <c r="BX35" s="13" t="s">
        <v>103</v>
      </c>
      <c r="BY35" s="13" t="s">
        <v>103</v>
      </c>
      <c r="BZ35" s="13" t="s">
        <v>103</v>
      </c>
    </row>
    <row r="36" s="13" customFormat="1" ht="12.75" spans="1:78">
      <c r="A36" s="12">
        <v>45833</v>
      </c>
      <c r="B36" s="13">
        <v>25106041</v>
      </c>
      <c r="C36" s="13"/>
      <c r="D36" s="13"/>
      <c r="E36" s="13">
        <v>1</v>
      </c>
      <c r="F36" s="13" t="s">
        <v>91</v>
      </c>
      <c r="G36" s="13">
        <v>41</v>
      </c>
      <c r="H36" s="13">
        <v>41</v>
      </c>
      <c r="I36" s="13" t="s">
        <v>92</v>
      </c>
      <c r="J36" s="13" t="s">
        <v>93</v>
      </c>
      <c r="P36" s="31"/>
      <c r="Q36" s="16"/>
      <c r="U36" s="13">
        <v>5049</v>
      </c>
      <c r="V36" s="16">
        <v>3.50009902951079</v>
      </c>
      <c r="W36" s="87">
        <v>16759</v>
      </c>
      <c r="X36" s="13">
        <v>17672</v>
      </c>
      <c r="Y36" s="13">
        <v>913</v>
      </c>
      <c r="Z36" s="13">
        <v>214</v>
      </c>
      <c r="AD36" s="13" t="s">
        <v>98</v>
      </c>
      <c r="AH36" s="13" t="s">
        <v>99</v>
      </c>
      <c r="AI36" s="13" t="s">
        <v>100</v>
      </c>
      <c r="AJ36" s="13" t="s">
        <v>101</v>
      </c>
      <c r="AK36" s="13" t="s">
        <v>102</v>
      </c>
      <c r="AL36" s="13">
        <v>107</v>
      </c>
      <c r="AM36" s="13" t="s">
        <v>100</v>
      </c>
      <c r="AN36" s="13" t="s">
        <v>101</v>
      </c>
      <c r="AO36" s="13" t="s">
        <v>102</v>
      </c>
      <c r="AP36" s="13">
        <v>107</v>
      </c>
      <c r="AS36" s="16"/>
      <c r="AX36" s="16"/>
      <c r="AY36" s="31"/>
      <c r="BD36" s="16"/>
      <c r="BG36" s="31"/>
      <c r="BI36" s="31"/>
      <c r="BJ36" s="31"/>
      <c r="BK36" s="13">
        <v>5.4</v>
      </c>
      <c r="BM36" s="31"/>
      <c r="BO36" s="16"/>
      <c r="BP36" s="16"/>
      <c r="BQ36" s="16" t="e">
        <v>#DIV/0!</v>
      </c>
      <c r="BR36" s="102"/>
      <c r="BT36" s="13" t="s">
        <v>105</v>
      </c>
      <c r="BU36" s="12">
        <v>45834</v>
      </c>
      <c r="BV36" s="13" t="s">
        <v>105</v>
      </c>
      <c r="BW36" s="31">
        <v>5.4</v>
      </c>
      <c r="BX36" s="13" t="s">
        <v>103</v>
      </c>
      <c r="BY36" s="13" t="s">
        <v>103</v>
      </c>
      <c r="BZ36" s="13" t="s">
        <v>103</v>
      </c>
    </row>
    <row r="37" spans="22:75">
      <c r="V37" s="88">
        <f>MEDIAN(V32:V36)</f>
        <v>3.50009902951079</v>
      </c>
      <c r="W37" s="88">
        <f t="shared" ref="W37:BW37" si="0">MEDIAN(W32:W36)</f>
        <v>15870</v>
      </c>
      <c r="X37" s="88">
        <f t="shared" si="0"/>
        <v>16689</v>
      </c>
      <c r="Y37" s="88">
        <f t="shared" si="0"/>
        <v>819</v>
      </c>
      <c r="Z37" s="88">
        <f t="shared" si="0"/>
        <v>247.5</v>
      </c>
      <c r="AA37" s="88" t="e">
        <f t="shared" si="0"/>
        <v>#NUM!</v>
      </c>
      <c r="AB37" s="88" t="e">
        <f t="shared" si="0"/>
        <v>#NUM!</v>
      </c>
      <c r="AC37" s="88" t="e">
        <f t="shared" si="0"/>
        <v>#NUM!</v>
      </c>
      <c r="AD37" s="88" t="e">
        <f t="shared" si="0"/>
        <v>#NUM!</v>
      </c>
      <c r="AE37" s="88" t="e">
        <f t="shared" si="0"/>
        <v>#NUM!</v>
      </c>
      <c r="AF37" s="88" t="e">
        <f t="shared" si="0"/>
        <v>#NUM!</v>
      </c>
      <c r="AG37" s="88" t="e">
        <f t="shared" si="0"/>
        <v>#NUM!</v>
      </c>
      <c r="AH37" s="88" t="e">
        <f t="shared" si="0"/>
        <v>#NUM!</v>
      </c>
      <c r="AI37" s="88" t="e">
        <f t="shared" si="0"/>
        <v>#NUM!</v>
      </c>
      <c r="AJ37" s="88" t="e">
        <f t="shared" si="0"/>
        <v>#NUM!</v>
      </c>
      <c r="AK37" s="88" t="e">
        <f t="shared" si="0"/>
        <v>#NUM!</v>
      </c>
      <c r="AL37" s="88">
        <f t="shared" si="0"/>
        <v>107</v>
      </c>
      <c r="AM37" s="88" t="e">
        <f t="shared" si="0"/>
        <v>#NUM!</v>
      </c>
      <c r="AN37" s="88" t="e">
        <f t="shared" si="0"/>
        <v>#NUM!</v>
      </c>
      <c r="AO37" s="88" t="e">
        <f t="shared" si="0"/>
        <v>#NUM!</v>
      </c>
      <c r="AP37" s="88">
        <f t="shared" si="0"/>
        <v>107</v>
      </c>
      <c r="AQ37" s="88" t="e">
        <f t="shared" si="0"/>
        <v>#NUM!</v>
      </c>
      <c r="AR37" s="88" t="e">
        <f t="shared" si="0"/>
        <v>#NUM!</v>
      </c>
      <c r="AS37" s="88" t="e">
        <f t="shared" si="0"/>
        <v>#NUM!</v>
      </c>
      <c r="AT37" s="88" t="e">
        <f t="shared" si="0"/>
        <v>#NUM!</v>
      </c>
      <c r="AU37" s="88" t="e">
        <f t="shared" si="0"/>
        <v>#NUM!</v>
      </c>
      <c r="AV37" s="88" t="e">
        <f t="shared" si="0"/>
        <v>#NUM!</v>
      </c>
      <c r="AW37" s="88" t="e">
        <f t="shared" si="0"/>
        <v>#NUM!</v>
      </c>
      <c r="AX37" s="88" t="e">
        <f t="shared" si="0"/>
        <v>#NUM!</v>
      </c>
      <c r="AY37" s="88" t="e">
        <f t="shared" si="0"/>
        <v>#NUM!</v>
      </c>
      <c r="AZ37" s="88" t="e">
        <f t="shared" si="0"/>
        <v>#NUM!</v>
      </c>
      <c r="BA37" s="88" t="e">
        <f t="shared" si="0"/>
        <v>#NUM!</v>
      </c>
      <c r="BB37" s="88" t="e">
        <f t="shared" si="0"/>
        <v>#NUM!</v>
      </c>
      <c r="BC37" s="88" t="e">
        <f t="shared" si="0"/>
        <v>#NUM!</v>
      </c>
      <c r="BD37" s="88" t="e">
        <f t="shared" si="0"/>
        <v>#NUM!</v>
      </c>
      <c r="BE37" s="88" t="e">
        <f t="shared" si="0"/>
        <v>#NUM!</v>
      </c>
      <c r="BF37" s="88" t="e">
        <f t="shared" si="0"/>
        <v>#NUM!</v>
      </c>
      <c r="BG37" s="88" t="e">
        <f t="shared" si="0"/>
        <v>#NUM!</v>
      </c>
      <c r="BH37" s="88" t="e">
        <f t="shared" si="0"/>
        <v>#NUM!</v>
      </c>
      <c r="BI37" s="88" t="e">
        <f t="shared" si="0"/>
        <v>#NUM!</v>
      </c>
      <c r="BJ37" s="88" t="e">
        <f t="shared" si="0"/>
        <v>#NUM!</v>
      </c>
      <c r="BK37" s="88">
        <f t="shared" si="0"/>
        <v>5.4</v>
      </c>
      <c r="BL37" s="88" t="e">
        <f t="shared" si="0"/>
        <v>#NUM!</v>
      </c>
      <c r="BM37" s="88" t="e">
        <f t="shared" si="0"/>
        <v>#NUM!</v>
      </c>
      <c r="BN37" s="88" t="e">
        <f t="shared" si="0"/>
        <v>#NUM!</v>
      </c>
      <c r="BO37" s="88">
        <f t="shared" si="0"/>
        <v>16.248</v>
      </c>
      <c r="BP37" s="88" t="e">
        <f t="shared" si="0"/>
        <v>#NUM!</v>
      </c>
      <c r="BQ37" s="88" t="e">
        <f t="shared" si="0"/>
        <v>#DIV/0!</v>
      </c>
      <c r="BR37" s="88" t="e">
        <f t="shared" si="0"/>
        <v>#NUM!</v>
      </c>
      <c r="BS37" s="88" t="e">
        <f t="shared" si="0"/>
        <v>#NUM!</v>
      </c>
      <c r="BT37" s="88" t="e">
        <f t="shared" si="0"/>
        <v>#NUM!</v>
      </c>
      <c r="BU37" s="88">
        <f t="shared" si="0"/>
        <v>45820</v>
      </c>
      <c r="BV37" s="88" t="e">
        <f t="shared" si="0"/>
        <v>#NUM!</v>
      </c>
      <c r="BW37" s="88">
        <f t="shared" si="0"/>
        <v>5.4</v>
      </c>
    </row>
    <row r="39" ht="15.75"/>
    <row r="40" s="83" customFormat="1" ht="51.75" spans="1:89">
      <c r="A40" s="8" t="s">
        <v>0</v>
      </c>
      <c r="B40" s="9" t="s">
        <v>1</v>
      </c>
      <c r="C40" s="9" t="s">
        <v>2</v>
      </c>
      <c r="D40" s="9" t="s">
        <v>3</v>
      </c>
      <c r="E40" s="9" t="s">
        <v>4</v>
      </c>
      <c r="F40" s="9" t="s">
        <v>5</v>
      </c>
      <c r="G40" s="9" t="s">
        <v>6</v>
      </c>
      <c r="H40" s="9" t="s">
        <v>7</v>
      </c>
      <c r="I40" s="9" t="s">
        <v>8</v>
      </c>
      <c r="J40" s="9" t="s">
        <v>9</v>
      </c>
      <c r="K40" s="9" t="s">
        <v>10</v>
      </c>
      <c r="L40" s="9" t="s">
        <v>11</v>
      </c>
      <c r="M40" s="9" t="s">
        <v>12</v>
      </c>
      <c r="N40" s="9" t="s">
        <v>13</v>
      </c>
      <c r="O40" s="9" t="s">
        <v>14</v>
      </c>
      <c r="P40" s="18" t="s">
        <v>15</v>
      </c>
      <c r="Q40" s="14" t="s">
        <v>16</v>
      </c>
      <c r="R40" s="9" t="s">
        <v>17</v>
      </c>
      <c r="S40" s="9" t="s">
        <v>18</v>
      </c>
      <c r="T40" s="9" t="s">
        <v>19</v>
      </c>
      <c r="U40" s="9" t="s">
        <v>20</v>
      </c>
      <c r="V40" s="34" t="s">
        <v>21</v>
      </c>
      <c r="W40" s="85" t="s">
        <v>22</v>
      </c>
      <c r="X40" s="9" t="s">
        <v>23</v>
      </c>
      <c r="Y40" s="9" t="s">
        <v>24</v>
      </c>
      <c r="Z40" s="9" t="s">
        <v>25</v>
      </c>
      <c r="AA40" s="18" t="s">
        <v>26</v>
      </c>
      <c r="AB40" s="21" t="s">
        <v>27</v>
      </c>
      <c r="AC40" s="22" t="s">
        <v>28</v>
      </c>
      <c r="AD40" s="23" t="s">
        <v>29</v>
      </c>
      <c r="AE40" s="24" t="s">
        <v>30</v>
      </c>
      <c r="AF40" s="24" t="s">
        <v>31</v>
      </c>
      <c r="AG40" s="24" t="s">
        <v>32</v>
      </c>
      <c r="AH40" s="24" t="s">
        <v>33</v>
      </c>
      <c r="AI40" s="33" t="s">
        <v>34</v>
      </c>
      <c r="AJ40" s="33" t="s">
        <v>35</v>
      </c>
      <c r="AK40" s="33" t="s">
        <v>36</v>
      </c>
      <c r="AL40" s="33" t="s">
        <v>37</v>
      </c>
      <c r="AM40" s="89" t="s">
        <v>38</v>
      </c>
      <c r="AN40" s="89" t="s">
        <v>39</v>
      </c>
      <c r="AO40" s="89" t="s">
        <v>40</v>
      </c>
      <c r="AP40" s="89" t="s">
        <v>41</v>
      </c>
      <c r="AQ40" s="25" t="s">
        <v>42</v>
      </c>
      <c r="AR40" s="25" t="s">
        <v>43</v>
      </c>
      <c r="AS40" s="90" t="s">
        <v>44</v>
      </c>
      <c r="AT40" s="25" t="s">
        <v>45</v>
      </c>
      <c r="AU40" s="25" t="s">
        <v>46</v>
      </c>
      <c r="AV40" s="27" t="s">
        <v>47</v>
      </c>
      <c r="AW40" s="27" t="s">
        <v>48</v>
      </c>
      <c r="AX40" s="91" t="s">
        <v>49</v>
      </c>
      <c r="AY40" s="29" t="s">
        <v>51</v>
      </c>
      <c r="AZ40" s="27" t="s">
        <v>52</v>
      </c>
      <c r="BA40" s="27" t="s">
        <v>53</v>
      </c>
      <c r="BB40" s="92" t="s">
        <v>54</v>
      </c>
      <c r="BC40" s="92" t="s">
        <v>55</v>
      </c>
      <c r="BD40" s="91" t="s">
        <v>56</v>
      </c>
      <c r="BE40" s="93" t="s">
        <v>57</v>
      </c>
      <c r="BF40" s="92" t="s">
        <v>58</v>
      </c>
      <c r="BG40" s="94" t="s">
        <v>59</v>
      </c>
      <c r="BH40" s="95" t="s">
        <v>60</v>
      </c>
      <c r="BI40" s="96" t="s">
        <v>61</v>
      </c>
      <c r="BJ40" s="96" t="s">
        <v>62</v>
      </c>
      <c r="BK40" s="96" t="s">
        <v>63</v>
      </c>
      <c r="BL40" s="96" t="s">
        <v>64</v>
      </c>
      <c r="BM40" s="96" t="s">
        <v>65</v>
      </c>
      <c r="BN40" s="98" t="s">
        <v>66</v>
      </c>
      <c r="BO40" s="99" t="s">
        <v>67</v>
      </c>
      <c r="BP40" s="99" t="s">
        <v>68</v>
      </c>
      <c r="BQ40" s="99" t="s">
        <v>69</v>
      </c>
      <c r="BR40" s="100" t="s">
        <v>70</v>
      </c>
      <c r="BS40" s="101" t="s">
        <v>71</v>
      </c>
      <c r="BT40" s="24" t="s">
        <v>72</v>
      </c>
      <c r="BU40" s="24" t="s">
        <v>73</v>
      </c>
      <c r="BV40" s="24" t="s">
        <v>74</v>
      </c>
      <c r="BW40" s="104" t="s">
        <v>75</v>
      </c>
      <c r="BX40" s="105" t="s">
        <v>76</v>
      </c>
      <c r="BY40" s="106" t="s">
        <v>77</v>
      </c>
      <c r="BZ40" s="106" t="s">
        <v>78</v>
      </c>
      <c r="CA40" s="107" t="s">
        <v>79</v>
      </c>
      <c r="CB40" s="107" t="s">
        <v>80</v>
      </c>
      <c r="CC40" s="107" t="s">
        <v>81</v>
      </c>
      <c r="CD40" s="107" t="s">
        <v>82</v>
      </c>
      <c r="CE40" s="108" t="s">
        <v>84</v>
      </c>
      <c r="CF40" s="108" t="s">
        <v>85</v>
      </c>
      <c r="CG40" s="107" t="s">
        <v>86</v>
      </c>
      <c r="CH40" s="109" t="s">
        <v>87</v>
      </c>
      <c r="CI40" s="107" t="s">
        <v>88</v>
      </c>
      <c r="CJ40" s="110" t="s">
        <v>89</v>
      </c>
      <c r="CK40" s="111" t="s">
        <v>90</v>
      </c>
    </row>
    <row r="41" s="13" customFormat="1" ht="12.75" spans="1:78">
      <c r="A41" s="12">
        <v>45777</v>
      </c>
      <c r="B41" s="13">
        <v>25040044</v>
      </c>
      <c r="C41" s="13"/>
      <c r="D41" s="13"/>
      <c r="E41" s="13">
        <v>1</v>
      </c>
      <c r="F41" s="13" t="s">
        <v>111</v>
      </c>
      <c r="G41" s="13">
        <v>35</v>
      </c>
      <c r="H41" s="13">
        <v>41</v>
      </c>
      <c r="I41" s="13" t="s">
        <v>120</v>
      </c>
      <c r="J41" s="13" t="s">
        <v>112</v>
      </c>
      <c r="K41" s="13" t="s">
        <v>94</v>
      </c>
      <c r="L41" s="13">
        <v>600</v>
      </c>
      <c r="M41" s="13">
        <v>4</v>
      </c>
      <c r="N41" s="13" t="s">
        <v>103</v>
      </c>
      <c r="O41" s="13">
        <v>48</v>
      </c>
      <c r="P41" s="31">
        <v>1.42</v>
      </c>
      <c r="Q41" s="16">
        <v>23.8048006347947</v>
      </c>
      <c r="R41" s="13">
        <v>64</v>
      </c>
      <c r="S41" s="13" t="s">
        <v>95</v>
      </c>
      <c r="T41" s="13">
        <v>174</v>
      </c>
      <c r="U41" s="13">
        <v>2791</v>
      </c>
      <c r="V41" s="16">
        <v>4.00035829451809</v>
      </c>
      <c r="W41" s="87">
        <v>10609</v>
      </c>
      <c r="X41" s="13">
        <v>11165</v>
      </c>
      <c r="Y41" s="13">
        <v>556</v>
      </c>
      <c r="Z41" s="13">
        <v>152</v>
      </c>
      <c r="AA41" s="13">
        <v>144.9</v>
      </c>
      <c r="AB41" s="13" t="s">
        <v>96</v>
      </c>
      <c r="AC41" s="13" t="s">
        <v>97</v>
      </c>
      <c r="AD41" s="13" t="s">
        <v>98</v>
      </c>
      <c r="AE41" s="13">
        <v>70</v>
      </c>
      <c r="AF41" s="13">
        <v>72</v>
      </c>
      <c r="AG41" s="13">
        <v>70</v>
      </c>
      <c r="AH41" s="13" t="s">
        <v>145</v>
      </c>
      <c r="AI41" s="13" t="s">
        <v>100</v>
      </c>
      <c r="AJ41" s="13" t="s">
        <v>101</v>
      </c>
      <c r="AK41" s="13" t="s">
        <v>102</v>
      </c>
      <c r="AL41" s="13">
        <v>92.3</v>
      </c>
      <c r="AM41" s="13" t="s">
        <v>100</v>
      </c>
      <c r="AN41" s="13" t="s">
        <v>101</v>
      </c>
      <c r="AO41" s="13" t="s">
        <v>102</v>
      </c>
      <c r="AP41" s="13" t="s">
        <v>102</v>
      </c>
      <c r="AQ41" s="13">
        <v>75.4</v>
      </c>
      <c r="AR41" s="13">
        <v>11.4</v>
      </c>
      <c r="AS41" s="16">
        <v>8.5956</v>
      </c>
      <c r="AT41" s="13">
        <v>38.6</v>
      </c>
      <c r="AU41" s="13">
        <v>260</v>
      </c>
      <c r="AV41" s="13">
        <v>580</v>
      </c>
      <c r="AW41" s="13">
        <v>54.5</v>
      </c>
      <c r="AX41" s="16">
        <v>316.1</v>
      </c>
      <c r="AY41" s="31">
        <v>4</v>
      </c>
      <c r="AZ41" s="13">
        <v>0.3</v>
      </c>
      <c r="BA41" s="13">
        <v>2770</v>
      </c>
      <c r="BB41" s="13">
        <v>56.4</v>
      </c>
      <c r="BC41" s="13">
        <v>8</v>
      </c>
      <c r="BD41" s="16">
        <v>4.512</v>
      </c>
      <c r="BE41" s="13">
        <v>37.8</v>
      </c>
      <c r="BF41" s="13">
        <v>142</v>
      </c>
      <c r="BG41" s="31"/>
      <c r="BH41" s="13">
        <v>129.2</v>
      </c>
      <c r="BI41" s="31">
        <v>4915.3</v>
      </c>
      <c r="BJ41" s="31">
        <v>712.2</v>
      </c>
      <c r="BK41" s="13">
        <v>11.1</v>
      </c>
      <c r="BL41" s="13">
        <v>583663</v>
      </c>
      <c r="BM41" s="31">
        <v>98.4</v>
      </c>
      <c r="BN41" s="13" t="s">
        <v>103</v>
      </c>
      <c r="BO41" s="16">
        <v>10.609</v>
      </c>
      <c r="BP41" s="16">
        <v>51.9595051459025</v>
      </c>
      <c r="BQ41" s="16">
        <v>346.636147420983</v>
      </c>
      <c r="BR41" s="102">
        <v>45.3846153846154</v>
      </c>
      <c r="BS41" s="13" t="s">
        <v>102</v>
      </c>
      <c r="BT41" s="13" t="s">
        <v>105</v>
      </c>
      <c r="BU41" s="12">
        <v>45778</v>
      </c>
      <c r="BV41" s="13" t="s">
        <v>105</v>
      </c>
      <c r="BW41" s="31">
        <v>8</v>
      </c>
      <c r="BX41" s="13" t="s">
        <v>103</v>
      </c>
      <c r="BY41" s="13" t="s">
        <v>103</v>
      </c>
      <c r="BZ41" s="13" t="s">
        <v>103</v>
      </c>
    </row>
    <row r="42" s="13" customFormat="1" ht="12.75" spans="1:78">
      <c r="A42" s="12">
        <v>45806</v>
      </c>
      <c r="B42" s="13">
        <v>25050045</v>
      </c>
      <c r="C42" s="13"/>
      <c r="D42" s="13"/>
      <c r="E42" s="13">
        <v>1</v>
      </c>
      <c r="F42" s="13" t="s">
        <v>111</v>
      </c>
      <c r="G42" s="13">
        <v>15</v>
      </c>
      <c r="H42" s="13">
        <v>19</v>
      </c>
      <c r="I42" s="13" t="s">
        <v>120</v>
      </c>
      <c r="J42" s="13" t="s">
        <v>112</v>
      </c>
      <c r="P42" s="31"/>
      <c r="Q42" s="16"/>
      <c r="U42" s="13">
        <v>3726</v>
      </c>
      <c r="V42" s="16">
        <v>4.00026838432635</v>
      </c>
      <c r="W42" s="87">
        <v>14153</v>
      </c>
      <c r="X42" s="13">
        <v>14905</v>
      </c>
      <c r="Y42" s="13">
        <v>752</v>
      </c>
      <c r="Z42" s="13">
        <v>171</v>
      </c>
      <c r="AD42" s="13" t="s">
        <v>98</v>
      </c>
      <c r="AH42" s="13" t="s">
        <v>99</v>
      </c>
      <c r="AI42" s="13" t="s">
        <v>110</v>
      </c>
      <c r="AJ42" s="13" t="s">
        <v>101</v>
      </c>
      <c r="AK42" s="13" t="s">
        <v>102</v>
      </c>
      <c r="AL42" s="13" t="s">
        <v>102</v>
      </c>
      <c r="AM42" s="13" t="s">
        <v>110</v>
      </c>
      <c r="AN42" s="13" t="s">
        <v>101</v>
      </c>
      <c r="AO42" s="13" t="s">
        <v>102</v>
      </c>
      <c r="AP42" s="13" t="s">
        <v>102</v>
      </c>
      <c r="AS42" s="16"/>
      <c r="AX42" s="16"/>
      <c r="AY42" s="31"/>
      <c r="BD42" s="16"/>
      <c r="BG42" s="31"/>
      <c r="BI42" s="31"/>
      <c r="BJ42" s="31"/>
      <c r="BK42" s="13">
        <v>8.3</v>
      </c>
      <c r="BM42" s="31"/>
      <c r="BO42" s="16"/>
      <c r="BP42" s="16"/>
      <c r="BQ42" s="16" t="e">
        <v>#DIV/0!</v>
      </c>
      <c r="BR42" s="102"/>
      <c r="BT42" s="13" t="s">
        <v>105</v>
      </c>
      <c r="BU42" s="12">
        <v>45807</v>
      </c>
      <c r="BV42" s="13" t="s">
        <v>105</v>
      </c>
      <c r="BW42" s="31">
        <v>8.3</v>
      </c>
      <c r="BX42" s="13" t="s">
        <v>103</v>
      </c>
      <c r="BY42" s="13" t="s">
        <v>103</v>
      </c>
      <c r="BZ42" s="13" t="s">
        <v>103</v>
      </c>
    </row>
    <row r="43" s="13" customFormat="1" ht="12.75" spans="1:78">
      <c r="A43" s="12">
        <v>45828</v>
      </c>
      <c r="B43" s="13">
        <v>25106040</v>
      </c>
      <c r="C43" s="13"/>
      <c r="D43" s="13"/>
      <c r="E43" s="13">
        <v>1</v>
      </c>
      <c r="F43" s="13" t="s">
        <v>111</v>
      </c>
      <c r="G43" s="13">
        <v>29</v>
      </c>
      <c r="H43" s="13">
        <v>23</v>
      </c>
      <c r="I43" s="13" t="s">
        <v>120</v>
      </c>
      <c r="J43" s="13" t="s">
        <v>125</v>
      </c>
      <c r="P43" s="31"/>
      <c r="Q43" s="16"/>
      <c r="U43" s="13">
        <v>4050</v>
      </c>
      <c r="V43" s="16">
        <v>3.5</v>
      </c>
      <c r="W43" s="87">
        <v>13467</v>
      </c>
      <c r="X43" s="13">
        <v>14175</v>
      </c>
      <c r="Y43" s="13">
        <v>708</v>
      </c>
      <c r="Z43" s="13">
        <v>295</v>
      </c>
      <c r="AD43" s="13" t="s">
        <v>122</v>
      </c>
      <c r="AH43" s="13" t="s">
        <v>109</v>
      </c>
      <c r="AI43" s="13" t="s">
        <v>100</v>
      </c>
      <c r="AJ43" s="13" t="s">
        <v>101</v>
      </c>
      <c r="AK43" s="13" t="s">
        <v>102</v>
      </c>
      <c r="AL43" s="13" t="s">
        <v>102</v>
      </c>
      <c r="AM43" s="13" t="s">
        <v>100</v>
      </c>
      <c r="AN43" s="13" t="s">
        <v>101</v>
      </c>
      <c r="AO43" s="13" t="s">
        <v>102</v>
      </c>
      <c r="AP43" s="13" t="s">
        <v>102</v>
      </c>
      <c r="AS43" s="16"/>
      <c r="AX43" s="16"/>
      <c r="AY43" s="31"/>
      <c r="BD43" s="16"/>
      <c r="BG43" s="31"/>
      <c r="BI43" s="31"/>
      <c r="BJ43" s="31"/>
      <c r="BK43" s="13">
        <v>6.4</v>
      </c>
      <c r="BM43" s="31"/>
      <c r="BO43" s="16"/>
      <c r="BP43" s="16"/>
      <c r="BQ43" s="16" t="e">
        <v>#DIV/0!</v>
      </c>
      <c r="BR43" s="102"/>
      <c r="BT43" s="13" t="s">
        <v>105</v>
      </c>
      <c r="BU43" s="12">
        <v>45830</v>
      </c>
      <c r="BV43" s="13" t="s">
        <v>105</v>
      </c>
      <c r="BW43" s="31">
        <v>6.4</v>
      </c>
      <c r="BX43" s="13" t="s">
        <v>103</v>
      </c>
      <c r="BY43" s="13" t="s">
        <v>103</v>
      </c>
      <c r="BZ43" s="13" t="s">
        <v>103</v>
      </c>
    </row>
    <row r="44" spans="22:63">
      <c r="V44" s="88">
        <f>MEDIAN(V41:V43)</f>
        <v>4.00026838432635</v>
      </c>
      <c r="BK44">
        <f>MEDIAN(BK41:BK43)</f>
        <v>8.3</v>
      </c>
    </row>
    <row r="46" ht="15.75"/>
    <row r="47" s="83" customFormat="1" ht="51.75" spans="1:89">
      <c r="A47" s="8" t="s">
        <v>0</v>
      </c>
      <c r="B47" s="9" t="s">
        <v>1</v>
      </c>
      <c r="C47" s="9" t="s">
        <v>2</v>
      </c>
      <c r="D47" s="9" t="s">
        <v>3</v>
      </c>
      <c r="E47" s="9" t="s">
        <v>4</v>
      </c>
      <c r="F47" s="9" t="s">
        <v>5</v>
      </c>
      <c r="G47" s="9" t="s">
        <v>6</v>
      </c>
      <c r="H47" s="9" t="s">
        <v>7</v>
      </c>
      <c r="I47" s="9" t="s">
        <v>8</v>
      </c>
      <c r="J47" s="9" t="s">
        <v>9</v>
      </c>
      <c r="K47" s="9" t="s">
        <v>10</v>
      </c>
      <c r="L47" s="9" t="s">
        <v>11</v>
      </c>
      <c r="M47" s="9" t="s">
        <v>12</v>
      </c>
      <c r="N47" s="9" t="s">
        <v>13</v>
      </c>
      <c r="O47" s="9" t="s">
        <v>14</v>
      </c>
      <c r="P47" s="18" t="s">
        <v>15</v>
      </c>
      <c r="Q47" s="14" t="s">
        <v>16</v>
      </c>
      <c r="R47" s="9" t="s">
        <v>17</v>
      </c>
      <c r="S47" s="9" t="s">
        <v>18</v>
      </c>
      <c r="T47" s="9" t="s">
        <v>19</v>
      </c>
      <c r="U47" s="9" t="s">
        <v>20</v>
      </c>
      <c r="V47" s="34" t="s">
        <v>21</v>
      </c>
      <c r="W47" s="85" t="s">
        <v>22</v>
      </c>
      <c r="X47" s="9" t="s">
        <v>23</v>
      </c>
      <c r="Y47" s="9" t="s">
        <v>24</v>
      </c>
      <c r="Z47" s="9" t="s">
        <v>25</v>
      </c>
      <c r="AA47" s="18" t="s">
        <v>26</v>
      </c>
      <c r="AB47" s="21" t="s">
        <v>27</v>
      </c>
      <c r="AC47" s="22" t="s">
        <v>28</v>
      </c>
      <c r="AD47" s="23" t="s">
        <v>29</v>
      </c>
      <c r="AE47" s="24" t="s">
        <v>30</v>
      </c>
      <c r="AF47" s="24" t="s">
        <v>31</v>
      </c>
      <c r="AG47" s="24" t="s">
        <v>32</v>
      </c>
      <c r="AH47" s="24" t="s">
        <v>33</v>
      </c>
      <c r="AI47" s="33" t="s">
        <v>34</v>
      </c>
      <c r="AJ47" s="33" t="s">
        <v>35</v>
      </c>
      <c r="AK47" s="33" t="s">
        <v>36</v>
      </c>
      <c r="AL47" s="33" t="s">
        <v>37</v>
      </c>
      <c r="AM47" s="89" t="s">
        <v>38</v>
      </c>
      <c r="AN47" s="89" t="s">
        <v>39</v>
      </c>
      <c r="AO47" s="89" t="s">
        <v>40</v>
      </c>
      <c r="AP47" s="89" t="s">
        <v>41</v>
      </c>
      <c r="AQ47" s="25" t="s">
        <v>42</v>
      </c>
      <c r="AR47" s="25" t="s">
        <v>43</v>
      </c>
      <c r="AS47" s="90" t="s">
        <v>44</v>
      </c>
      <c r="AT47" s="25" t="s">
        <v>45</v>
      </c>
      <c r="AU47" s="25" t="s">
        <v>46</v>
      </c>
      <c r="AV47" s="27" t="s">
        <v>47</v>
      </c>
      <c r="AW47" s="27" t="s">
        <v>48</v>
      </c>
      <c r="AX47" s="91" t="s">
        <v>49</v>
      </c>
      <c r="AY47" s="29" t="s">
        <v>51</v>
      </c>
      <c r="AZ47" s="27" t="s">
        <v>52</v>
      </c>
      <c r="BA47" s="27" t="s">
        <v>53</v>
      </c>
      <c r="BB47" s="92" t="s">
        <v>54</v>
      </c>
      <c r="BC47" s="92" t="s">
        <v>55</v>
      </c>
      <c r="BD47" s="91" t="s">
        <v>56</v>
      </c>
      <c r="BE47" s="93" t="s">
        <v>57</v>
      </c>
      <c r="BF47" s="92" t="s">
        <v>58</v>
      </c>
      <c r="BG47" s="94" t="s">
        <v>59</v>
      </c>
      <c r="BH47" s="95" t="s">
        <v>60</v>
      </c>
      <c r="BI47" s="96" t="s">
        <v>61</v>
      </c>
      <c r="BJ47" s="96" t="s">
        <v>62</v>
      </c>
      <c r="BK47" s="96" t="s">
        <v>63</v>
      </c>
      <c r="BL47" s="96" t="s">
        <v>64</v>
      </c>
      <c r="BM47" s="96" t="s">
        <v>65</v>
      </c>
      <c r="BN47" s="98" t="s">
        <v>66</v>
      </c>
      <c r="BO47" s="99" t="s">
        <v>67</v>
      </c>
      <c r="BP47" s="99" t="s">
        <v>68</v>
      </c>
      <c r="BQ47" s="99" t="s">
        <v>69</v>
      </c>
      <c r="BR47" s="100" t="s">
        <v>70</v>
      </c>
      <c r="BS47" s="101" t="s">
        <v>71</v>
      </c>
      <c r="BT47" s="24" t="s">
        <v>72</v>
      </c>
      <c r="BU47" s="24" t="s">
        <v>73</v>
      </c>
      <c r="BV47" s="24" t="s">
        <v>74</v>
      </c>
      <c r="BW47" s="104" t="s">
        <v>75</v>
      </c>
      <c r="BX47" s="105" t="s">
        <v>76</v>
      </c>
      <c r="BY47" s="106" t="s">
        <v>77</v>
      </c>
      <c r="BZ47" s="106" t="s">
        <v>78</v>
      </c>
      <c r="CA47" s="107" t="s">
        <v>79</v>
      </c>
      <c r="CB47" s="107" t="s">
        <v>80</v>
      </c>
      <c r="CC47" s="107" t="s">
        <v>81</v>
      </c>
      <c r="CD47" s="107" t="s">
        <v>82</v>
      </c>
      <c r="CE47" s="108" t="s">
        <v>84</v>
      </c>
      <c r="CF47" s="108" t="s">
        <v>85</v>
      </c>
      <c r="CG47" s="107" t="s">
        <v>86</v>
      </c>
      <c r="CH47" s="109" t="s">
        <v>87</v>
      </c>
      <c r="CI47" s="107" t="s">
        <v>88</v>
      </c>
      <c r="CJ47" s="110" t="s">
        <v>89</v>
      </c>
      <c r="CK47" s="111" t="s">
        <v>90</v>
      </c>
    </row>
    <row r="48" s="13" customFormat="1" ht="12.75" spans="1:78">
      <c r="A48" s="12">
        <v>45756</v>
      </c>
      <c r="B48" s="13">
        <v>25040011</v>
      </c>
      <c r="C48" s="13"/>
      <c r="D48" s="13"/>
      <c r="E48" s="13">
        <v>1</v>
      </c>
      <c r="F48" s="13" t="s">
        <v>91</v>
      </c>
      <c r="G48" s="13">
        <v>15</v>
      </c>
      <c r="H48" s="13">
        <v>16</v>
      </c>
      <c r="I48" s="13" t="s">
        <v>124</v>
      </c>
      <c r="J48" s="13" t="s">
        <v>125</v>
      </c>
      <c r="K48" s="13" t="s">
        <v>94</v>
      </c>
      <c r="L48" s="13">
        <v>600</v>
      </c>
      <c r="M48" s="13">
        <v>4</v>
      </c>
      <c r="N48" s="13" t="s">
        <v>103</v>
      </c>
      <c r="O48" s="13">
        <v>48</v>
      </c>
      <c r="P48" s="31">
        <v>1.68</v>
      </c>
      <c r="Q48" s="16">
        <v>17.0068027210884</v>
      </c>
      <c r="R48" s="13">
        <v>45</v>
      </c>
      <c r="S48" s="13" t="s">
        <v>95</v>
      </c>
      <c r="T48" s="13">
        <v>260</v>
      </c>
      <c r="U48" s="13">
        <v>3889</v>
      </c>
      <c r="V48" s="16">
        <v>5.00025713551041</v>
      </c>
      <c r="W48" s="87">
        <v>18496</v>
      </c>
      <c r="X48" s="13">
        <v>19446</v>
      </c>
      <c r="Y48" s="13">
        <v>950</v>
      </c>
      <c r="Z48" s="13">
        <v>239</v>
      </c>
      <c r="AA48" s="13">
        <v>241.6</v>
      </c>
      <c r="AB48" s="13" t="s">
        <v>96</v>
      </c>
      <c r="AC48" s="13" t="s">
        <v>97</v>
      </c>
      <c r="AD48" s="13" t="s">
        <v>98</v>
      </c>
      <c r="AE48" s="13">
        <v>80</v>
      </c>
      <c r="AF48" s="13">
        <v>80</v>
      </c>
      <c r="AG48" s="13">
        <v>80</v>
      </c>
      <c r="AH48" s="13" t="s">
        <v>99</v>
      </c>
      <c r="AI48" s="13" t="s">
        <v>100</v>
      </c>
      <c r="AJ48" s="13" t="s">
        <v>101</v>
      </c>
      <c r="AK48" s="13" t="s">
        <v>102</v>
      </c>
      <c r="AL48" s="13" t="s">
        <v>113</v>
      </c>
      <c r="AM48" s="13" t="s">
        <v>100</v>
      </c>
      <c r="AN48" s="13" t="s">
        <v>101</v>
      </c>
      <c r="AO48" s="13" t="s">
        <v>102</v>
      </c>
      <c r="AP48" s="13">
        <v>202.9</v>
      </c>
      <c r="AQ48" s="13">
        <v>56.15</v>
      </c>
      <c r="AR48" s="13">
        <v>13.2</v>
      </c>
      <c r="AS48" s="16">
        <v>7.4118</v>
      </c>
      <c r="AT48" s="13">
        <v>39.1</v>
      </c>
      <c r="AU48" s="13">
        <v>234</v>
      </c>
      <c r="AV48" s="13">
        <v>422.12</v>
      </c>
      <c r="AW48" s="13">
        <v>62.1</v>
      </c>
      <c r="AX48" s="16">
        <v>262.13652</v>
      </c>
      <c r="AY48" s="31">
        <v>1.7</v>
      </c>
      <c r="AZ48" s="13">
        <v>0.15</v>
      </c>
      <c r="BA48" s="13">
        <v>2514</v>
      </c>
      <c r="BB48" s="13">
        <v>44.63</v>
      </c>
      <c r="BC48" s="13">
        <v>10</v>
      </c>
      <c r="BD48" s="16">
        <v>4.463</v>
      </c>
      <c r="BE48" s="13">
        <v>39.2</v>
      </c>
      <c r="BF48" s="13">
        <v>120</v>
      </c>
      <c r="BG48" s="31"/>
      <c r="BH48" s="13">
        <v>83.2</v>
      </c>
      <c r="BI48" s="31">
        <v>2581</v>
      </c>
      <c r="BJ48" s="31">
        <v>623.5</v>
      </c>
      <c r="BK48" s="13">
        <v>13.8</v>
      </c>
      <c r="BL48" s="13">
        <v>422622</v>
      </c>
      <c r="BM48" s="31">
        <v>98.5</v>
      </c>
      <c r="BN48" s="13" t="s">
        <v>103</v>
      </c>
      <c r="BO48" s="16">
        <v>18.496</v>
      </c>
      <c r="BP48" s="16">
        <v>40.5168165258185</v>
      </c>
      <c r="BQ48" s="16">
        <v>191.216789023694</v>
      </c>
      <c r="BR48" s="102">
        <v>48.7179487179487</v>
      </c>
      <c r="BS48" s="13" t="s">
        <v>102</v>
      </c>
      <c r="BT48" s="13" t="s">
        <v>105</v>
      </c>
      <c r="BU48" s="12">
        <v>45758</v>
      </c>
      <c r="BV48" s="13" t="s">
        <v>105</v>
      </c>
      <c r="BW48" s="31">
        <v>10</v>
      </c>
      <c r="BX48" s="13" t="s">
        <v>103</v>
      </c>
      <c r="BY48" s="13" t="s">
        <v>103</v>
      </c>
      <c r="BZ48" s="13" t="s">
        <v>103</v>
      </c>
    </row>
    <row r="49" s="13" customFormat="1" ht="12.75" spans="1:78">
      <c r="A49" s="12">
        <v>45757</v>
      </c>
      <c r="B49" s="13">
        <v>25040025</v>
      </c>
      <c r="C49" s="13"/>
      <c r="D49" s="13"/>
      <c r="E49" s="13">
        <v>1</v>
      </c>
      <c r="F49" s="13" t="s">
        <v>111</v>
      </c>
      <c r="G49" s="13">
        <v>1</v>
      </c>
      <c r="H49" s="13">
        <v>6</v>
      </c>
      <c r="I49" s="13" t="s">
        <v>124</v>
      </c>
      <c r="J49" s="13" t="s">
        <v>144</v>
      </c>
      <c r="K49" s="13" t="s">
        <v>135</v>
      </c>
      <c r="L49" s="13">
        <v>400</v>
      </c>
      <c r="M49" s="13">
        <v>4</v>
      </c>
      <c r="N49" s="13" t="s">
        <v>103</v>
      </c>
      <c r="O49" s="13">
        <v>9.6</v>
      </c>
      <c r="P49" s="31">
        <v>0.82</v>
      </c>
      <c r="Q49" s="16">
        <v>14.2772159428911</v>
      </c>
      <c r="R49" s="13">
        <v>18</v>
      </c>
      <c r="S49" s="13" t="s">
        <v>140</v>
      </c>
      <c r="T49" s="13">
        <v>236</v>
      </c>
      <c r="U49" s="13">
        <v>720</v>
      </c>
      <c r="V49" s="16">
        <v>5</v>
      </c>
      <c r="W49" s="87">
        <v>3416</v>
      </c>
      <c r="X49" s="13">
        <v>3600</v>
      </c>
      <c r="Y49" s="13">
        <v>184</v>
      </c>
      <c r="Z49" s="13">
        <v>91</v>
      </c>
      <c r="AA49" s="13">
        <v>96.4</v>
      </c>
      <c r="AB49" s="13" t="s">
        <v>96</v>
      </c>
      <c r="AC49" s="13" t="s">
        <v>97</v>
      </c>
      <c r="AD49" s="13" t="s">
        <v>98</v>
      </c>
      <c r="AE49" s="13">
        <v>18</v>
      </c>
      <c r="AF49" s="13">
        <v>18</v>
      </c>
      <c r="AG49" s="13">
        <v>18</v>
      </c>
      <c r="AH49" s="13" t="s">
        <v>99</v>
      </c>
      <c r="AI49" s="13" t="s">
        <v>110</v>
      </c>
      <c r="AJ49" s="13" t="s">
        <v>101</v>
      </c>
      <c r="AK49" s="13" t="s">
        <v>102</v>
      </c>
      <c r="AL49" s="13" t="s">
        <v>102</v>
      </c>
      <c r="AM49" s="13" t="s">
        <v>110</v>
      </c>
      <c r="AN49" s="13" t="s">
        <v>101</v>
      </c>
      <c r="AO49" s="13" t="s">
        <v>102</v>
      </c>
      <c r="AP49" s="13">
        <v>80.1</v>
      </c>
      <c r="AQ49" s="13">
        <v>46.48</v>
      </c>
      <c r="AR49" s="13">
        <v>27.6</v>
      </c>
      <c r="AS49" s="16">
        <v>12.82848</v>
      </c>
      <c r="AT49" s="13">
        <v>35.2</v>
      </c>
      <c r="AU49" s="13">
        <v>284</v>
      </c>
      <c r="AV49" s="13">
        <v>301.32</v>
      </c>
      <c r="AW49" s="13">
        <v>69.8</v>
      </c>
      <c r="AX49" s="16">
        <v>210.32136</v>
      </c>
      <c r="AY49" s="31">
        <v>1.6</v>
      </c>
      <c r="AZ49" s="13">
        <v>0.14</v>
      </c>
      <c r="BA49" s="13">
        <v>1188</v>
      </c>
      <c r="BB49" s="13">
        <v>25.61</v>
      </c>
      <c r="BC49" s="13">
        <v>34.5</v>
      </c>
      <c r="BD49" s="16">
        <v>8.83545</v>
      </c>
      <c r="BE49" s="13">
        <v>37.6</v>
      </c>
      <c r="BF49" s="13">
        <v>122</v>
      </c>
      <c r="BG49" s="31"/>
      <c r="BH49" s="13">
        <v>137.6</v>
      </c>
      <c r="BI49" s="31">
        <v>2208.9</v>
      </c>
      <c r="BJ49" s="31">
        <v>212.9</v>
      </c>
      <c r="BK49" s="13">
        <v>11.8</v>
      </c>
      <c r="BL49" s="13">
        <v>338238</v>
      </c>
      <c r="BM49" s="31">
        <v>98.8</v>
      </c>
      <c r="BN49" s="13" t="s">
        <v>103</v>
      </c>
      <c r="BO49" s="16">
        <v>3.416</v>
      </c>
      <c r="BP49" s="16">
        <v>45.2938633516693</v>
      </c>
      <c r="BQ49" s="16">
        <v>479.943725036151</v>
      </c>
      <c r="BR49" s="102">
        <v>57.0422535211268</v>
      </c>
      <c r="BS49" s="13" t="s">
        <v>102</v>
      </c>
      <c r="BT49" s="13" t="s">
        <v>105</v>
      </c>
      <c r="BU49" s="12">
        <v>45758</v>
      </c>
      <c r="BV49" s="13" t="s">
        <v>105</v>
      </c>
      <c r="BW49" s="31">
        <v>11.8</v>
      </c>
      <c r="BX49" s="13" t="s">
        <v>103</v>
      </c>
      <c r="BY49" s="13" t="s">
        <v>103</v>
      </c>
      <c r="BZ49" s="13" t="s">
        <v>103</v>
      </c>
    </row>
    <row r="50" s="13" customFormat="1" ht="12.75" spans="1:78">
      <c r="A50" s="12">
        <v>45758</v>
      </c>
      <c r="B50" s="13">
        <v>25040027</v>
      </c>
      <c r="C50" s="13"/>
      <c r="D50" s="13"/>
      <c r="E50" s="13">
        <v>1</v>
      </c>
      <c r="F50" s="13" t="s">
        <v>91</v>
      </c>
      <c r="G50" s="13">
        <v>43</v>
      </c>
      <c r="H50" s="13">
        <v>21</v>
      </c>
      <c r="I50" s="13" t="s">
        <v>124</v>
      </c>
      <c r="J50" s="13" t="s">
        <v>125</v>
      </c>
      <c r="K50" s="13" t="s">
        <v>94</v>
      </c>
      <c r="L50" s="13">
        <v>1200</v>
      </c>
      <c r="M50" s="13">
        <v>4</v>
      </c>
      <c r="N50" s="13" t="s">
        <v>103</v>
      </c>
      <c r="O50" s="13">
        <v>114</v>
      </c>
      <c r="P50" s="31">
        <v>1.7</v>
      </c>
      <c r="Q50" s="16">
        <v>39.4463667820069</v>
      </c>
      <c r="R50" s="13">
        <v>133</v>
      </c>
      <c r="S50" s="13" t="s">
        <v>95</v>
      </c>
      <c r="T50" s="13">
        <v>332</v>
      </c>
      <c r="U50" s="13">
        <v>6076</v>
      </c>
      <c r="V50" s="16">
        <v>5.00016458196182</v>
      </c>
      <c r="W50" s="87">
        <v>28908</v>
      </c>
      <c r="X50" s="13">
        <v>30381</v>
      </c>
      <c r="Y50" s="13">
        <v>1473</v>
      </c>
      <c r="Z50" s="13">
        <v>320</v>
      </c>
      <c r="AA50" s="13">
        <v>327.7</v>
      </c>
      <c r="AB50" s="13" t="s">
        <v>96</v>
      </c>
      <c r="AC50" s="13" t="s">
        <v>97</v>
      </c>
      <c r="AD50" s="13" t="s">
        <v>98</v>
      </c>
      <c r="AE50" s="13">
        <v>55</v>
      </c>
      <c r="AF50" s="13">
        <v>78</v>
      </c>
      <c r="AG50" s="13">
        <v>100</v>
      </c>
      <c r="AH50" s="13" t="s">
        <v>109</v>
      </c>
      <c r="AI50" s="13" t="s">
        <v>100</v>
      </c>
      <c r="AJ50" s="13" t="s">
        <v>101</v>
      </c>
      <c r="AK50" s="13" t="s">
        <v>102</v>
      </c>
      <c r="AL50" s="13">
        <v>172.8</v>
      </c>
      <c r="AM50" s="13" t="s">
        <v>100</v>
      </c>
      <c r="AN50" s="13" t="s">
        <v>101</v>
      </c>
      <c r="AO50" s="13" t="s">
        <v>102</v>
      </c>
      <c r="AP50" s="13">
        <v>27.7</v>
      </c>
      <c r="AQ50" s="13">
        <v>49.88</v>
      </c>
      <c r="AR50" s="13">
        <v>15.5</v>
      </c>
      <c r="AS50" s="16">
        <v>7.7314</v>
      </c>
      <c r="AT50" s="13">
        <v>40.5</v>
      </c>
      <c r="AU50" s="13">
        <v>212</v>
      </c>
      <c r="AV50" s="13">
        <v>520</v>
      </c>
      <c r="AW50" s="13">
        <v>62.4</v>
      </c>
      <c r="AX50" s="16">
        <v>324.48</v>
      </c>
      <c r="AY50" s="31">
        <v>4</v>
      </c>
      <c r="AZ50" s="13">
        <v>0.5</v>
      </c>
      <c r="BA50" s="13">
        <v>2420</v>
      </c>
      <c r="BB50" s="13">
        <v>31.57</v>
      </c>
      <c r="BC50" s="13">
        <v>11.4</v>
      </c>
      <c r="BD50" s="16">
        <v>3.59898</v>
      </c>
      <c r="BE50" s="13">
        <v>41.7</v>
      </c>
      <c r="BF50" s="13">
        <v>111</v>
      </c>
      <c r="BG50" s="31"/>
      <c r="BH50" s="13">
        <v>110.6</v>
      </c>
      <c r="BI50" s="31">
        <v>5370.8</v>
      </c>
      <c r="BJ50" s="31">
        <v>1760</v>
      </c>
      <c r="BK50" s="13">
        <v>13.2</v>
      </c>
      <c r="BL50" s="13">
        <v>537242</v>
      </c>
      <c r="BM50" s="31">
        <v>98.7</v>
      </c>
      <c r="BN50" s="13" t="s">
        <v>103</v>
      </c>
      <c r="BO50" s="16">
        <v>28.908</v>
      </c>
      <c r="BP50" s="16">
        <v>55.0477401526474</v>
      </c>
      <c r="BQ50" s="16">
        <v>145.181655486015</v>
      </c>
      <c r="BR50" s="102">
        <v>47.6415094339623</v>
      </c>
      <c r="BS50" s="13" t="s">
        <v>102</v>
      </c>
      <c r="BT50" s="13" t="s">
        <v>105</v>
      </c>
      <c r="BU50" s="12">
        <v>45758</v>
      </c>
      <c r="BV50" s="13" t="s">
        <v>105</v>
      </c>
      <c r="BW50" s="31">
        <v>10</v>
      </c>
      <c r="BX50" s="13" t="s">
        <v>103</v>
      </c>
      <c r="BY50" s="13" t="s">
        <v>103</v>
      </c>
      <c r="BZ50" s="13" t="s">
        <v>103</v>
      </c>
    </row>
    <row r="51" s="13" customFormat="1" ht="12.75" spans="1:78">
      <c r="A51" s="12">
        <v>45758</v>
      </c>
      <c r="B51" s="13">
        <v>25040028</v>
      </c>
      <c r="C51" s="13"/>
      <c r="D51" s="13"/>
      <c r="E51" s="13">
        <v>1</v>
      </c>
      <c r="F51" s="13" t="s">
        <v>91</v>
      </c>
      <c r="G51" s="13">
        <v>41</v>
      </c>
      <c r="H51" s="13">
        <v>21</v>
      </c>
      <c r="I51" s="13" t="s">
        <v>124</v>
      </c>
      <c r="J51" s="13" t="s">
        <v>125</v>
      </c>
      <c r="K51" s="13" t="s">
        <v>94</v>
      </c>
      <c r="L51" s="13">
        <v>900</v>
      </c>
      <c r="M51" s="13">
        <v>4</v>
      </c>
      <c r="N51" s="13" t="s">
        <v>103</v>
      </c>
      <c r="O51" s="13">
        <v>80</v>
      </c>
      <c r="P51" s="31">
        <v>1.72</v>
      </c>
      <c r="Q51" s="16">
        <v>27.0416441319632</v>
      </c>
      <c r="R51" s="13">
        <v>62.9</v>
      </c>
      <c r="S51" s="13" t="s">
        <v>95</v>
      </c>
      <c r="T51" s="13">
        <v>254</v>
      </c>
      <c r="U51" s="13">
        <v>5046</v>
      </c>
      <c r="V51" s="16">
        <v>3</v>
      </c>
      <c r="W51" s="87">
        <v>14396</v>
      </c>
      <c r="X51" s="13">
        <v>15138</v>
      </c>
      <c r="Y51" s="13">
        <v>742</v>
      </c>
      <c r="Z51" s="13">
        <v>238</v>
      </c>
      <c r="AA51" s="13">
        <v>240</v>
      </c>
      <c r="AB51" s="13" t="s">
        <v>96</v>
      </c>
      <c r="AC51" s="13" t="s">
        <v>121</v>
      </c>
      <c r="AD51" s="13" t="s">
        <v>122</v>
      </c>
      <c r="AE51" s="13">
        <v>55</v>
      </c>
      <c r="AF51" s="13">
        <v>65</v>
      </c>
      <c r="AG51" s="13">
        <v>75</v>
      </c>
      <c r="AH51" s="13" t="s">
        <v>99</v>
      </c>
      <c r="AI51" s="13" t="s">
        <v>100</v>
      </c>
      <c r="AJ51" s="13" t="s">
        <v>101</v>
      </c>
      <c r="AK51" s="13" t="s">
        <v>102</v>
      </c>
      <c r="AL51" s="13" t="s">
        <v>102</v>
      </c>
      <c r="AM51" s="13" t="s">
        <v>100</v>
      </c>
      <c r="AN51" s="13" t="s">
        <v>101</v>
      </c>
      <c r="AO51" s="13" t="s">
        <v>102</v>
      </c>
      <c r="AP51" s="13" t="s">
        <v>102</v>
      </c>
      <c r="AQ51" s="13">
        <v>46.16</v>
      </c>
      <c r="AR51" s="13">
        <v>20.9</v>
      </c>
      <c r="AS51" s="16">
        <v>9.64744</v>
      </c>
      <c r="AT51" s="13">
        <v>44.4</v>
      </c>
      <c r="AU51" s="13">
        <v>215</v>
      </c>
      <c r="AV51" s="13">
        <v>552.8</v>
      </c>
      <c r="AW51" s="13">
        <v>69.7</v>
      </c>
      <c r="AX51" s="16">
        <v>385.3016</v>
      </c>
      <c r="AY51" s="31">
        <v>3</v>
      </c>
      <c r="AZ51" s="13">
        <v>0.3</v>
      </c>
      <c r="BA51" s="13">
        <v>2440</v>
      </c>
      <c r="BB51" s="13">
        <v>39.28</v>
      </c>
      <c r="BC51" s="13">
        <v>13</v>
      </c>
      <c r="BD51" s="16">
        <v>5.1064</v>
      </c>
      <c r="BE51" s="13">
        <v>46.5</v>
      </c>
      <c r="BF51" s="13">
        <v>147</v>
      </c>
      <c r="BG51" s="31"/>
      <c r="BH51" s="13">
        <v>77.7</v>
      </c>
      <c r="BI51" s="31">
        <v>3116.1</v>
      </c>
      <c r="BJ51" s="31">
        <v>747.8</v>
      </c>
      <c r="BK51" s="13">
        <v>11.8</v>
      </c>
      <c r="BL51" s="13">
        <v>530706</v>
      </c>
      <c r="BM51" s="31">
        <v>99.3</v>
      </c>
      <c r="BN51" s="13" t="s">
        <v>103</v>
      </c>
      <c r="BO51" s="16">
        <v>14.396</v>
      </c>
      <c r="BP51" s="16">
        <v>66.8532621852988</v>
      </c>
      <c r="BQ51" s="16">
        <v>277.425826293285</v>
      </c>
      <c r="BR51" s="102">
        <v>31.6279069767442</v>
      </c>
      <c r="BS51" s="13" t="s">
        <v>102</v>
      </c>
      <c r="BT51" s="13" t="s">
        <v>105</v>
      </c>
      <c r="BU51" s="12">
        <v>45758</v>
      </c>
      <c r="BV51" s="13" t="s">
        <v>105</v>
      </c>
      <c r="BW51" s="31">
        <v>10</v>
      </c>
      <c r="BX51" s="13" t="s">
        <v>103</v>
      </c>
      <c r="BY51" s="13" t="s">
        <v>103</v>
      </c>
      <c r="BZ51" s="13" t="s">
        <v>103</v>
      </c>
    </row>
    <row r="52" s="13" customFormat="1" ht="12.75" spans="1:78">
      <c r="A52" s="12">
        <v>45771</v>
      </c>
      <c r="B52" s="13">
        <v>25040039</v>
      </c>
      <c r="C52" s="13"/>
      <c r="D52" s="13"/>
      <c r="E52" s="13">
        <v>1</v>
      </c>
      <c r="F52" s="13" t="s">
        <v>91</v>
      </c>
      <c r="G52" s="13">
        <v>12</v>
      </c>
      <c r="H52" s="13">
        <v>10</v>
      </c>
      <c r="I52" s="13" t="s">
        <v>124</v>
      </c>
      <c r="J52" s="13" t="s">
        <v>125</v>
      </c>
      <c r="K52" s="13" t="s">
        <v>135</v>
      </c>
      <c r="L52" s="13">
        <v>300</v>
      </c>
      <c r="M52" s="13">
        <v>4</v>
      </c>
      <c r="N52" s="13" t="s">
        <v>103</v>
      </c>
      <c r="O52" s="13">
        <v>33</v>
      </c>
      <c r="P52" s="31">
        <v>1.43</v>
      </c>
      <c r="Q52" s="16">
        <v>16.1377084454008</v>
      </c>
      <c r="R52" s="13">
        <v>25.5</v>
      </c>
      <c r="S52" s="13" t="s">
        <v>95</v>
      </c>
      <c r="T52" s="13">
        <v>259</v>
      </c>
      <c r="U52" s="13">
        <v>2739</v>
      </c>
      <c r="V52" s="16">
        <v>5</v>
      </c>
      <c r="W52" s="87">
        <v>13020</v>
      </c>
      <c r="X52" s="13">
        <v>13695</v>
      </c>
      <c r="Y52" s="13">
        <v>675</v>
      </c>
      <c r="Z52" s="13">
        <v>243</v>
      </c>
      <c r="AA52" s="13">
        <v>248.3</v>
      </c>
      <c r="AB52" s="13" t="s">
        <v>96</v>
      </c>
      <c r="AC52" s="13" t="s">
        <v>97</v>
      </c>
      <c r="AD52" s="13" t="s">
        <v>98</v>
      </c>
      <c r="AE52" s="13">
        <v>40</v>
      </c>
      <c r="AF52" s="13">
        <v>50</v>
      </c>
      <c r="AG52" s="13">
        <v>60</v>
      </c>
      <c r="AH52" s="13" t="s">
        <v>99</v>
      </c>
      <c r="AI52" s="13" t="s">
        <v>100</v>
      </c>
      <c r="AJ52" s="13" t="s">
        <v>101</v>
      </c>
      <c r="AK52" s="13" t="s">
        <v>102</v>
      </c>
      <c r="AL52" s="13">
        <v>218.2</v>
      </c>
      <c r="AM52" s="13" t="s">
        <v>100</v>
      </c>
      <c r="AN52" s="13" t="s">
        <v>101</v>
      </c>
      <c r="AO52" s="13" t="s">
        <v>102</v>
      </c>
      <c r="AP52" s="13">
        <v>95</v>
      </c>
      <c r="AQ52" s="13">
        <v>28.12</v>
      </c>
      <c r="AR52" s="13">
        <v>26.7</v>
      </c>
      <c r="AS52" s="16">
        <v>7.50804</v>
      </c>
      <c r="AT52" s="13">
        <v>36.9</v>
      </c>
      <c r="AU52" s="13">
        <v>198</v>
      </c>
      <c r="AV52" s="13">
        <v>218.36</v>
      </c>
      <c r="AW52" s="13">
        <v>94.2</v>
      </c>
      <c r="AX52" s="16">
        <v>205.69512</v>
      </c>
      <c r="AY52" s="31">
        <v>2</v>
      </c>
      <c r="AZ52" s="13">
        <v>0.2</v>
      </c>
      <c r="BA52" s="13">
        <v>1558</v>
      </c>
      <c r="BB52" s="13">
        <v>21.74</v>
      </c>
      <c r="BC52" s="13">
        <v>19.9</v>
      </c>
      <c r="BD52" s="16">
        <v>4.32626</v>
      </c>
      <c r="BE52" s="13">
        <v>39.2</v>
      </c>
      <c r="BF52" s="13">
        <v>103</v>
      </c>
      <c r="BG52" s="31"/>
      <c r="BH52" s="13">
        <v>32.7</v>
      </c>
      <c r="BI52" s="31">
        <v>942.9</v>
      </c>
      <c r="BJ52" s="31">
        <v>234.1</v>
      </c>
      <c r="BK52" s="13">
        <v>9.1</v>
      </c>
      <c r="BL52" s="13">
        <v>239334</v>
      </c>
      <c r="BM52" s="31">
        <v>99.3</v>
      </c>
      <c r="BN52" s="13" t="s">
        <v>103</v>
      </c>
      <c r="BO52" s="16">
        <v>13.02</v>
      </c>
      <c r="BP52" s="16">
        <v>54.9848034310893</v>
      </c>
      <c r="BQ52" s="16">
        <v>210.419714244517</v>
      </c>
      <c r="BR52" s="102">
        <v>47.979797979798</v>
      </c>
      <c r="BS52" s="13" t="s">
        <v>102</v>
      </c>
      <c r="BT52" s="13" t="s">
        <v>105</v>
      </c>
      <c r="BU52" s="12">
        <v>45772</v>
      </c>
      <c r="BV52" s="13" t="s">
        <v>105</v>
      </c>
      <c r="BW52" s="31">
        <v>9.1</v>
      </c>
      <c r="BX52" s="13" t="s">
        <v>103</v>
      </c>
      <c r="BY52" s="13" t="s">
        <v>103</v>
      </c>
      <c r="BZ52" s="13" t="s">
        <v>103</v>
      </c>
    </row>
    <row r="53" s="13" customFormat="1" ht="12.75" spans="1:78">
      <c r="A53" s="12">
        <v>45786</v>
      </c>
      <c r="B53" s="13">
        <v>25050017</v>
      </c>
      <c r="C53" s="13"/>
      <c r="D53" s="13"/>
      <c r="E53" s="13">
        <v>1</v>
      </c>
      <c r="F53" s="13" t="s">
        <v>91</v>
      </c>
      <c r="G53" s="13">
        <v>31</v>
      </c>
      <c r="H53" s="13">
        <v>59</v>
      </c>
      <c r="I53" s="13" t="s">
        <v>124</v>
      </c>
      <c r="J53" s="13" t="s">
        <v>125</v>
      </c>
      <c r="K53" s="13" t="s">
        <v>94</v>
      </c>
      <c r="L53" s="13">
        <v>900</v>
      </c>
      <c r="M53" s="13">
        <v>4</v>
      </c>
      <c r="N53" s="13" t="s">
        <v>103</v>
      </c>
      <c r="O53" s="13">
        <v>92</v>
      </c>
      <c r="P53" s="31">
        <v>1.67</v>
      </c>
      <c r="Q53" s="16">
        <v>32.9879163828033</v>
      </c>
      <c r="R53" s="13">
        <v>59</v>
      </c>
      <c r="S53" s="13" t="s">
        <v>95</v>
      </c>
      <c r="T53" s="13">
        <v>237</v>
      </c>
      <c r="U53" s="13">
        <v>5274</v>
      </c>
      <c r="V53" s="16">
        <v>2.50018960940463</v>
      </c>
      <c r="W53" s="87">
        <v>12535</v>
      </c>
      <c r="X53" s="13">
        <v>13186</v>
      </c>
      <c r="Y53" s="13">
        <v>651</v>
      </c>
      <c r="Z53" s="13">
        <v>223</v>
      </c>
      <c r="AA53" s="13">
        <v>229.3</v>
      </c>
      <c r="AB53" s="13" t="s">
        <v>96</v>
      </c>
      <c r="AC53" s="13" t="s">
        <v>97</v>
      </c>
      <c r="AD53" s="13" t="s">
        <v>122</v>
      </c>
      <c r="AE53" s="13">
        <v>50</v>
      </c>
      <c r="AF53" s="13">
        <v>58.5</v>
      </c>
      <c r="AG53" s="13">
        <v>67</v>
      </c>
      <c r="AH53" s="13" t="s">
        <v>99</v>
      </c>
      <c r="AI53" s="13" t="s">
        <v>100</v>
      </c>
      <c r="AJ53" s="13" t="s">
        <v>101</v>
      </c>
      <c r="AK53" s="13" t="s">
        <v>102</v>
      </c>
      <c r="AL53" s="13">
        <v>217.9</v>
      </c>
      <c r="AM53" s="13" t="s">
        <v>100</v>
      </c>
      <c r="AN53" s="13" t="s">
        <v>101</v>
      </c>
      <c r="AO53" s="13" t="s">
        <v>102</v>
      </c>
      <c r="AP53" s="13">
        <v>181.7</v>
      </c>
      <c r="AQ53" s="13">
        <v>56.17</v>
      </c>
      <c r="AR53" s="13">
        <v>18.6</v>
      </c>
      <c r="AS53" s="16">
        <v>10.44762</v>
      </c>
      <c r="AT53" s="13">
        <v>46.1</v>
      </c>
      <c r="AU53" s="13">
        <v>208</v>
      </c>
      <c r="AV53" s="13">
        <v>540.7</v>
      </c>
      <c r="AW53" s="13">
        <v>69.9</v>
      </c>
      <c r="AX53" s="16">
        <v>377.9493</v>
      </c>
      <c r="AY53" s="31">
        <v>4</v>
      </c>
      <c r="AZ53" s="13">
        <v>0.4</v>
      </c>
      <c r="BA53" s="13">
        <v>2070</v>
      </c>
      <c r="BB53" s="13">
        <v>41.56</v>
      </c>
      <c r="BC53" s="13">
        <v>13.1</v>
      </c>
      <c r="BD53" s="16">
        <v>5.44436</v>
      </c>
      <c r="BE53" s="13">
        <v>44</v>
      </c>
      <c r="BF53" s="13">
        <v>123</v>
      </c>
      <c r="BG53" s="31"/>
      <c r="BH53" s="13">
        <v>124</v>
      </c>
      <c r="BI53" s="31">
        <v>4737.1</v>
      </c>
      <c r="BJ53" s="31">
        <v>1086.2</v>
      </c>
      <c r="BK53" s="13">
        <v>18.4</v>
      </c>
      <c r="BL53" s="13">
        <v>530009</v>
      </c>
      <c r="BM53" s="31">
        <v>99.4</v>
      </c>
      <c r="BN53" s="13" t="s">
        <v>103</v>
      </c>
      <c r="BO53" s="16">
        <v>12.535</v>
      </c>
      <c r="BP53" s="16">
        <v>69.8817504535687</v>
      </c>
      <c r="BQ53" s="16">
        <v>288.59701773911</v>
      </c>
      <c r="BR53" s="102">
        <v>40.8653846153846</v>
      </c>
      <c r="BS53" s="103"/>
      <c r="BT53" s="13" t="s">
        <v>105</v>
      </c>
      <c r="BU53" s="12">
        <v>45787</v>
      </c>
      <c r="BV53" s="13" t="s">
        <v>105</v>
      </c>
      <c r="BW53" s="31">
        <v>10</v>
      </c>
      <c r="BX53" s="13" t="s">
        <v>103</v>
      </c>
      <c r="BY53" s="13" t="s">
        <v>103</v>
      </c>
      <c r="BZ53" s="13" t="s">
        <v>103</v>
      </c>
    </row>
    <row r="54" s="13" customFormat="1" ht="12.75" spans="1:78">
      <c r="A54" s="12">
        <v>45813</v>
      </c>
      <c r="B54" s="13">
        <v>25060011</v>
      </c>
      <c r="C54" s="13"/>
      <c r="D54" s="13"/>
      <c r="E54" s="13">
        <v>1</v>
      </c>
      <c r="F54" s="13" t="s">
        <v>111</v>
      </c>
      <c r="G54" s="13">
        <v>36</v>
      </c>
      <c r="H54" s="13">
        <v>11</v>
      </c>
      <c r="I54" s="13" t="s">
        <v>124</v>
      </c>
      <c r="J54" s="13" t="s">
        <v>125</v>
      </c>
      <c r="P54" s="31"/>
      <c r="Q54" s="16"/>
      <c r="U54" s="13">
        <v>4248</v>
      </c>
      <c r="V54" s="16">
        <v>1.5</v>
      </c>
      <c r="W54" s="87">
        <v>6038</v>
      </c>
      <c r="X54" s="13">
        <v>6372</v>
      </c>
      <c r="Y54" s="13">
        <v>334</v>
      </c>
      <c r="Z54" s="13">
        <v>116</v>
      </c>
      <c r="AD54" s="13" t="s">
        <v>122</v>
      </c>
      <c r="AH54" s="13" t="s">
        <v>99</v>
      </c>
      <c r="AI54" s="13" t="s">
        <v>100</v>
      </c>
      <c r="AJ54" s="13" t="s">
        <v>101</v>
      </c>
      <c r="AK54" s="13" t="s">
        <v>102</v>
      </c>
      <c r="AL54" s="13">
        <v>77</v>
      </c>
      <c r="AM54" s="13" t="s">
        <v>110</v>
      </c>
      <c r="AN54" s="13" t="s">
        <v>101</v>
      </c>
      <c r="AO54" s="13" t="s">
        <v>102</v>
      </c>
      <c r="AP54" s="13">
        <v>181.4</v>
      </c>
      <c r="AS54" s="16"/>
      <c r="AX54" s="16"/>
      <c r="AY54" s="31"/>
      <c r="BD54" s="16"/>
      <c r="BG54" s="31"/>
      <c r="BI54" s="31"/>
      <c r="BJ54" s="31"/>
      <c r="BK54" s="13">
        <v>12.1</v>
      </c>
      <c r="BM54" s="31"/>
      <c r="BO54" s="16"/>
      <c r="BP54" s="16"/>
      <c r="BQ54" s="16" t="e">
        <v>#DIV/0!</v>
      </c>
      <c r="BR54" s="102"/>
      <c r="BT54" s="13" t="s">
        <v>105</v>
      </c>
      <c r="BU54" s="12">
        <v>45814</v>
      </c>
      <c r="BV54" s="13" t="s">
        <v>105</v>
      </c>
      <c r="BW54" s="31">
        <v>10</v>
      </c>
      <c r="BX54" s="13" t="s">
        <v>103</v>
      </c>
      <c r="BY54" s="13" t="s">
        <v>103</v>
      </c>
      <c r="BZ54" s="13" t="s">
        <v>103</v>
      </c>
    </row>
    <row r="55" s="13" customFormat="1" ht="12.75" spans="1:78">
      <c r="A55" s="12">
        <v>45814</v>
      </c>
      <c r="B55" s="13">
        <v>25060019</v>
      </c>
      <c r="C55" s="13"/>
      <c r="D55" s="13"/>
      <c r="E55" s="13">
        <v>1</v>
      </c>
      <c r="F55" s="13" t="s">
        <v>111</v>
      </c>
      <c r="G55" s="13">
        <v>38</v>
      </c>
      <c r="H55" s="13">
        <v>20</v>
      </c>
      <c r="I55" s="13" t="s">
        <v>124</v>
      </c>
      <c r="J55" s="13" t="s">
        <v>125</v>
      </c>
      <c r="P55" s="31"/>
      <c r="Q55" s="16"/>
      <c r="U55" s="13">
        <v>3210</v>
      </c>
      <c r="V55" s="16">
        <v>4.76292834890966</v>
      </c>
      <c r="W55" s="87">
        <v>14539</v>
      </c>
      <c r="X55" s="13">
        <v>15289</v>
      </c>
      <c r="Y55" s="13">
        <v>750</v>
      </c>
      <c r="Z55" s="13">
        <v>190</v>
      </c>
      <c r="AD55" s="13" t="s">
        <v>98</v>
      </c>
      <c r="AH55" s="13" t="s">
        <v>147</v>
      </c>
      <c r="AI55" s="13" t="s">
        <v>100</v>
      </c>
      <c r="AJ55" s="13" t="s">
        <v>101</v>
      </c>
      <c r="AK55" s="13" t="s">
        <v>102</v>
      </c>
      <c r="AL55" s="13">
        <v>137.4</v>
      </c>
      <c r="AM55" s="13" t="s">
        <v>100</v>
      </c>
      <c r="AN55" s="13" t="s">
        <v>101</v>
      </c>
      <c r="AO55" s="13" t="s">
        <v>102</v>
      </c>
      <c r="AP55" s="13">
        <v>23.2</v>
      </c>
      <c r="AS55" s="16"/>
      <c r="AX55" s="16"/>
      <c r="AY55" s="31"/>
      <c r="BD55" s="16"/>
      <c r="BG55" s="31"/>
      <c r="BI55" s="31"/>
      <c r="BJ55" s="31"/>
      <c r="BK55" s="13">
        <v>5.5</v>
      </c>
      <c r="BM55" s="31"/>
      <c r="BO55" s="16"/>
      <c r="BP55" s="16"/>
      <c r="BQ55" s="16" t="e">
        <v>#DIV/0!</v>
      </c>
      <c r="BR55" s="102"/>
      <c r="BT55" s="13" t="s">
        <v>105</v>
      </c>
      <c r="BU55" s="12">
        <v>45814</v>
      </c>
      <c r="BV55" s="13" t="s">
        <v>105</v>
      </c>
      <c r="BW55" s="31">
        <v>5.5</v>
      </c>
      <c r="BX55" s="13" t="s">
        <v>103</v>
      </c>
      <c r="BY55" s="13" t="s">
        <v>103</v>
      </c>
      <c r="BZ55" s="13" t="s">
        <v>103</v>
      </c>
    </row>
    <row r="56" s="13" customFormat="1" ht="12.75" spans="1:78">
      <c r="A56" s="12">
        <v>45821</v>
      </c>
      <c r="B56" s="13">
        <v>25060036</v>
      </c>
      <c r="C56" s="13"/>
      <c r="D56" s="13"/>
      <c r="E56" s="13">
        <v>1</v>
      </c>
      <c r="F56" s="13" t="s">
        <v>111</v>
      </c>
      <c r="G56" s="13">
        <v>27</v>
      </c>
      <c r="H56" s="13">
        <v>59</v>
      </c>
      <c r="I56" s="13" t="s">
        <v>124</v>
      </c>
      <c r="J56" s="13" t="s">
        <v>112</v>
      </c>
      <c r="P56" s="31"/>
      <c r="Q56" s="16"/>
      <c r="U56" s="13">
        <v>3500</v>
      </c>
      <c r="V56" s="16">
        <v>5</v>
      </c>
      <c r="W56" s="87">
        <v>16628</v>
      </c>
      <c r="X56" s="13">
        <v>17500</v>
      </c>
      <c r="Y56" s="13">
        <v>872</v>
      </c>
      <c r="Z56" s="13">
        <v>225</v>
      </c>
      <c r="AD56" s="13" t="s">
        <v>98</v>
      </c>
      <c r="AH56" s="13" t="s">
        <v>109</v>
      </c>
      <c r="AI56" s="13" t="s">
        <v>110</v>
      </c>
      <c r="AJ56" s="13" t="s">
        <v>101</v>
      </c>
      <c r="AK56" s="13" t="s">
        <v>102</v>
      </c>
      <c r="AL56" s="13" t="s">
        <v>102</v>
      </c>
      <c r="AM56" s="13" t="s">
        <v>110</v>
      </c>
      <c r="AN56" s="13" t="s">
        <v>101</v>
      </c>
      <c r="AO56" s="13" t="s">
        <v>102</v>
      </c>
      <c r="AP56" s="13" t="s">
        <v>113</v>
      </c>
      <c r="AS56" s="16"/>
      <c r="AX56" s="16"/>
      <c r="AY56" s="31"/>
      <c r="BD56" s="16"/>
      <c r="BG56" s="31"/>
      <c r="BI56" s="31"/>
      <c r="BJ56" s="31"/>
      <c r="BK56" s="13">
        <v>8.5</v>
      </c>
      <c r="BM56" s="31"/>
      <c r="BO56" s="16"/>
      <c r="BP56" s="16"/>
      <c r="BQ56" s="16" t="e">
        <v>#DIV/0!</v>
      </c>
      <c r="BR56" s="102"/>
      <c r="BT56" s="13" t="s">
        <v>105</v>
      </c>
      <c r="BU56" s="12">
        <v>45823</v>
      </c>
      <c r="BV56" s="13" t="s">
        <v>105</v>
      </c>
      <c r="BW56" s="31">
        <v>8.5</v>
      </c>
      <c r="BX56" s="13" t="s">
        <v>103</v>
      </c>
      <c r="BY56" s="13" t="s">
        <v>103</v>
      </c>
      <c r="BZ56" s="13" t="s">
        <v>103</v>
      </c>
    </row>
    <row r="57" s="13" customFormat="1" ht="12.75" spans="1:78">
      <c r="A57" s="12">
        <v>45828</v>
      </c>
      <c r="B57" s="13">
        <v>25106038</v>
      </c>
      <c r="C57" s="13"/>
      <c r="D57" s="13"/>
      <c r="E57" s="13">
        <v>1</v>
      </c>
      <c r="F57" s="13" t="s">
        <v>91</v>
      </c>
      <c r="G57" s="13">
        <v>25</v>
      </c>
      <c r="H57" s="13">
        <v>18</v>
      </c>
      <c r="I57" s="13" t="s">
        <v>124</v>
      </c>
      <c r="J57" s="13" t="s">
        <v>125</v>
      </c>
      <c r="P57" s="31"/>
      <c r="Q57" s="16"/>
      <c r="U57" s="13">
        <v>6440</v>
      </c>
      <c r="V57" s="16">
        <v>2.50015527950311</v>
      </c>
      <c r="W57" s="87">
        <v>15314</v>
      </c>
      <c r="X57" s="13">
        <v>16101</v>
      </c>
      <c r="Y57" s="13">
        <v>787</v>
      </c>
      <c r="Z57" s="13">
        <v>314</v>
      </c>
      <c r="AD57" s="13" t="s">
        <v>122</v>
      </c>
      <c r="AH57" s="13" t="s">
        <v>148</v>
      </c>
      <c r="AI57" s="13" t="s">
        <v>100</v>
      </c>
      <c r="AJ57" s="13" t="s">
        <v>101</v>
      </c>
      <c r="AK57" s="13" t="s">
        <v>102</v>
      </c>
      <c r="AL57" s="13">
        <v>46.6</v>
      </c>
      <c r="AM57" s="13" t="s">
        <v>100</v>
      </c>
      <c r="AN57" s="13" t="s">
        <v>101</v>
      </c>
      <c r="AO57" s="13" t="s">
        <v>102</v>
      </c>
      <c r="AP57" s="13">
        <v>179.3</v>
      </c>
      <c r="AS57" s="16"/>
      <c r="AX57" s="16"/>
      <c r="AY57" s="31"/>
      <c r="BD57" s="16"/>
      <c r="BG57" s="31"/>
      <c r="BI57" s="31"/>
      <c r="BJ57" s="31"/>
      <c r="BK57" s="13">
        <v>12.4</v>
      </c>
      <c r="BM57" s="31"/>
      <c r="BO57" s="16"/>
      <c r="BP57" s="16"/>
      <c r="BQ57" s="16" t="e">
        <v>#DIV/0!</v>
      </c>
      <c r="BR57" s="102"/>
      <c r="BT57" s="13" t="s">
        <v>105</v>
      </c>
      <c r="BU57" s="12">
        <v>45828</v>
      </c>
      <c r="BV57" s="13" t="s">
        <v>105</v>
      </c>
      <c r="BW57" s="31">
        <v>10</v>
      </c>
      <c r="BX57" s="13" t="s">
        <v>103</v>
      </c>
      <c r="BY57" s="13" t="s">
        <v>103</v>
      </c>
      <c r="BZ57" s="13" t="s">
        <v>103</v>
      </c>
    </row>
    <row r="58" s="13" customFormat="1" ht="12.75" spans="1:78">
      <c r="A58" s="12">
        <v>45828</v>
      </c>
      <c r="B58" s="13">
        <v>25106039</v>
      </c>
      <c r="C58" s="13"/>
      <c r="D58" s="13"/>
      <c r="E58" s="13">
        <v>1</v>
      </c>
      <c r="F58" s="13" t="s">
        <v>91</v>
      </c>
      <c r="G58" s="13">
        <v>34</v>
      </c>
      <c r="H58" s="13">
        <v>33</v>
      </c>
      <c r="I58" s="13" t="s">
        <v>124</v>
      </c>
      <c r="J58" s="13" t="s">
        <v>125</v>
      </c>
      <c r="P58" s="31"/>
      <c r="Q58" s="16"/>
      <c r="U58" s="13">
        <v>5216</v>
      </c>
      <c r="V58" s="16">
        <v>3</v>
      </c>
      <c r="W58" s="87">
        <v>14882</v>
      </c>
      <c r="X58" s="13">
        <v>15648</v>
      </c>
      <c r="Y58" s="13">
        <v>766</v>
      </c>
      <c r="Z58" s="13">
        <v>252</v>
      </c>
      <c r="AD58" s="13" t="s">
        <v>122</v>
      </c>
      <c r="AH58" s="13" t="s">
        <v>99</v>
      </c>
      <c r="AI58" s="13" t="s">
        <v>100</v>
      </c>
      <c r="AJ58" s="13" t="s">
        <v>101</v>
      </c>
      <c r="AK58" s="13" t="s">
        <v>102</v>
      </c>
      <c r="AL58" s="13" t="s">
        <v>113</v>
      </c>
      <c r="AM58" s="13" t="s">
        <v>100</v>
      </c>
      <c r="AN58" s="13" t="s">
        <v>101</v>
      </c>
      <c r="AO58" s="13" t="s">
        <v>102</v>
      </c>
      <c r="AP58" s="13" t="s">
        <v>102</v>
      </c>
      <c r="AS58" s="16"/>
      <c r="AX58" s="16"/>
      <c r="AY58" s="31"/>
      <c r="BD58" s="16"/>
      <c r="BG58" s="31"/>
      <c r="BI58" s="31"/>
      <c r="BJ58" s="31"/>
      <c r="BK58" s="13">
        <v>11.7</v>
      </c>
      <c r="BM58" s="31"/>
      <c r="BO58" s="16"/>
      <c r="BP58" s="16"/>
      <c r="BQ58" s="16" t="e">
        <v>#DIV/0!</v>
      </c>
      <c r="BR58" s="102"/>
      <c r="BT58" s="13" t="s">
        <v>105</v>
      </c>
      <c r="BU58" s="12">
        <v>45830</v>
      </c>
      <c r="BV58" s="13" t="s">
        <v>105</v>
      </c>
      <c r="BW58" s="31">
        <v>10</v>
      </c>
      <c r="BX58" s="13" t="s">
        <v>103</v>
      </c>
      <c r="BY58" s="13" t="s">
        <v>103</v>
      </c>
      <c r="BZ58" s="13" t="s">
        <v>103</v>
      </c>
    </row>
    <row r="59" spans="22:63">
      <c r="V59" s="88">
        <f>MEDIAN(V48:V58)</f>
        <v>4.76292834890966</v>
      </c>
      <c r="BK59">
        <f>MEDIAN(BK48:BK58)</f>
        <v>11.8</v>
      </c>
    </row>
    <row r="60" ht="15.75"/>
    <row r="61" ht="51.75" spans="1:78">
      <c r="A61" s="8" t="s">
        <v>0</v>
      </c>
      <c r="B61" s="9" t="s">
        <v>1</v>
      </c>
      <c r="C61" s="9" t="s">
        <v>2</v>
      </c>
      <c r="D61" s="9" t="s">
        <v>3</v>
      </c>
      <c r="E61" s="9" t="s">
        <v>4</v>
      </c>
      <c r="F61" s="9" t="s">
        <v>5</v>
      </c>
      <c r="G61" s="9" t="s">
        <v>6</v>
      </c>
      <c r="H61" s="9" t="s">
        <v>7</v>
      </c>
      <c r="I61" s="9" t="s">
        <v>8</v>
      </c>
      <c r="J61" s="9" t="s">
        <v>9</v>
      </c>
      <c r="K61" s="9" t="s">
        <v>10</v>
      </c>
      <c r="L61" s="9" t="s">
        <v>11</v>
      </c>
      <c r="M61" s="9" t="s">
        <v>12</v>
      </c>
      <c r="N61" s="9" t="s">
        <v>13</v>
      </c>
      <c r="O61" s="9" t="s">
        <v>14</v>
      </c>
      <c r="P61" s="18" t="s">
        <v>15</v>
      </c>
      <c r="Q61" s="14" t="s">
        <v>16</v>
      </c>
      <c r="R61" s="9" t="s">
        <v>17</v>
      </c>
      <c r="S61" s="9" t="s">
        <v>18</v>
      </c>
      <c r="T61" s="9" t="s">
        <v>19</v>
      </c>
      <c r="U61" s="9" t="s">
        <v>20</v>
      </c>
      <c r="V61" s="14" t="s">
        <v>21</v>
      </c>
      <c r="W61" s="85" t="s">
        <v>22</v>
      </c>
      <c r="X61" s="9" t="s">
        <v>23</v>
      </c>
      <c r="Y61" s="9" t="s">
        <v>24</v>
      </c>
      <c r="Z61" s="9" t="s">
        <v>25</v>
      </c>
      <c r="AA61" s="18" t="s">
        <v>26</v>
      </c>
      <c r="AB61" s="21" t="s">
        <v>27</v>
      </c>
      <c r="AC61" s="22" t="s">
        <v>28</v>
      </c>
      <c r="AD61" s="23" t="s">
        <v>29</v>
      </c>
      <c r="AE61" s="24" t="s">
        <v>30</v>
      </c>
      <c r="AF61" s="24" t="s">
        <v>31</v>
      </c>
      <c r="AG61" s="24" t="s">
        <v>32</v>
      </c>
      <c r="AH61" s="24" t="s">
        <v>33</v>
      </c>
      <c r="AI61" s="33" t="s">
        <v>34</v>
      </c>
      <c r="AJ61" s="33" t="s">
        <v>35</v>
      </c>
      <c r="AK61" s="33" t="s">
        <v>36</v>
      </c>
      <c r="AL61" s="33" t="s">
        <v>37</v>
      </c>
      <c r="AM61" s="89" t="s">
        <v>38</v>
      </c>
      <c r="AN61" s="89" t="s">
        <v>39</v>
      </c>
      <c r="AO61" s="89" t="s">
        <v>40</v>
      </c>
      <c r="AP61" s="89" t="s">
        <v>41</v>
      </c>
      <c r="AQ61" s="25" t="s">
        <v>42</v>
      </c>
      <c r="AR61" s="25" t="s">
        <v>43</v>
      </c>
      <c r="AS61" s="90" t="s">
        <v>44</v>
      </c>
      <c r="AT61" s="25" t="s">
        <v>45</v>
      </c>
      <c r="AU61" s="25" t="s">
        <v>46</v>
      </c>
      <c r="AV61" s="27" t="s">
        <v>47</v>
      </c>
      <c r="AW61" s="27" t="s">
        <v>48</v>
      </c>
      <c r="AX61" s="91" t="s">
        <v>49</v>
      </c>
      <c r="AY61" s="29" t="s">
        <v>51</v>
      </c>
      <c r="AZ61" s="27" t="s">
        <v>52</v>
      </c>
      <c r="BA61" s="27" t="s">
        <v>53</v>
      </c>
      <c r="BB61" s="92" t="s">
        <v>54</v>
      </c>
      <c r="BC61" s="92" t="s">
        <v>55</v>
      </c>
      <c r="BD61" s="91" t="s">
        <v>56</v>
      </c>
      <c r="BE61" s="93" t="s">
        <v>57</v>
      </c>
      <c r="BF61" s="92" t="s">
        <v>58</v>
      </c>
      <c r="BG61" s="94" t="s">
        <v>59</v>
      </c>
      <c r="BH61" s="95" t="s">
        <v>60</v>
      </c>
      <c r="BI61" s="96" t="s">
        <v>61</v>
      </c>
      <c r="BJ61" s="96" t="s">
        <v>62</v>
      </c>
      <c r="BK61" s="96" t="s">
        <v>63</v>
      </c>
      <c r="BL61" s="96" t="s">
        <v>64</v>
      </c>
      <c r="BM61" s="96" t="s">
        <v>65</v>
      </c>
      <c r="BN61" s="98" t="s">
        <v>66</v>
      </c>
      <c r="BO61" s="99" t="s">
        <v>67</v>
      </c>
      <c r="BP61" s="99" t="s">
        <v>68</v>
      </c>
      <c r="BQ61" s="99" t="s">
        <v>69</v>
      </c>
      <c r="BR61" s="100" t="s">
        <v>70</v>
      </c>
      <c r="BS61" s="101" t="s">
        <v>71</v>
      </c>
      <c r="BT61" s="24" t="s">
        <v>72</v>
      </c>
      <c r="BU61" s="24" t="s">
        <v>73</v>
      </c>
      <c r="BV61" s="24" t="s">
        <v>74</v>
      </c>
      <c r="BW61" s="104" t="s">
        <v>75</v>
      </c>
      <c r="BX61" s="105" t="s">
        <v>76</v>
      </c>
      <c r="BY61" s="106" t="s">
        <v>77</v>
      </c>
      <c r="BZ61" s="106" t="s">
        <v>78</v>
      </c>
    </row>
    <row r="62" spans="1:78">
      <c r="A62" s="12">
        <v>45854</v>
      </c>
      <c r="B62" s="13">
        <v>25107004</v>
      </c>
      <c r="C62" s="13"/>
      <c r="D62" s="13"/>
      <c r="E62" s="13">
        <v>1</v>
      </c>
      <c r="F62" s="13" t="s">
        <v>111</v>
      </c>
      <c r="G62" s="13">
        <v>49</v>
      </c>
      <c r="H62" s="13">
        <v>49</v>
      </c>
      <c r="I62" s="13" t="s">
        <v>92</v>
      </c>
      <c r="J62" s="13" t="s">
        <v>93</v>
      </c>
      <c r="K62" s="13" t="s">
        <v>94</v>
      </c>
      <c r="L62" s="13">
        <v>600</v>
      </c>
      <c r="M62" s="13">
        <v>4</v>
      </c>
      <c r="N62" s="13" t="s">
        <v>103</v>
      </c>
      <c r="O62" s="13">
        <v>60</v>
      </c>
      <c r="P62" s="31">
        <v>1.52</v>
      </c>
      <c r="Q62" s="16">
        <v>25.9695290858726</v>
      </c>
      <c r="R62" s="13">
        <v>60</v>
      </c>
      <c r="S62" s="13" t="s">
        <v>95</v>
      </c>
      <c r="T62" s="13">
        <v>252</v>
      </c>
      <c r="U62" s="13">
        <v>3419</v>
      </c>
      <c r="V62" s="16">
        <v>5</v>
      </c>
      <c r="W62" s="87">
        <v>16205</v>
      </c>
      <c r="X62" s="13">
        <v>17095</v>
      </c>
      <c r="Y62" s="13">
        <v>890</v>
      </c>
      <c r="Z62" s="13">
        <v>234</v>
      </c>
      <c r="AA62" s="13">
        <v>222.8</v>
      </c>
      <c r="AB62" s="13" t="s">
        <v>96</v>
      </c>
      <c r="AC62" s="13" t="s">
        <v>108</v>
      </c>
      <c r="AD62" s="13" t="s">
        <v>98</v>
      </c>
      <c r="AE62" s="13">
        <v>61.8</v>
      </c>
      <c r="AF62" s="13">
        <v>70.9</v>
      </c>
      <c r="AG62" s="13">
        <v>70</v>
      </c>
      <c r="AH62" s="13" t="s">
        <v>109</v>
      </c>
      <c r="AI62" s="13" t="s">
        <v>100</v>
      </c>
      <c r="AJ62" s="13" t="s">
        <v>101</v>
      </c>
      <c r="AK62" s="13" t="s">
        <v>102</v>
      </c>
      <c r="AL62" s="13" t="s">
        <v>113</v>
      </c>
      <c r="AM62" s="13" t="s">
        <v>100</v>
      </c>
      <c r="AN62" s="13" t="s">
        <v>101</v>
      </c>
      <c r="AO62" s="13" t="s">
        <v>102</v>
      </c>
      <c r="AP62" s="13" t="s">
        <v>113</v>
      </c>
      <c r="AQ62" s="13">
        <v>64.47</v>
      </c>
      <c r="AR62" s="13">
        <v>17.6</v>
      </c>
      <c r="AS62" s="16">
        <v>11.34672</v>
      </c>
      <c r="AT62" s="13">
        <v>35.5</v>
      </c>
      <c r="AU62" s="13">
        <v>349</v>
      </c>
      <c r="AV62" s="13">
        <v>312.26</v>
      </c>
      <c r="AW62" s="13">
        <v>79.8</v>
      </c>
      <c r="AX62" s="16">
        <v>249.18348</v>
      </c>
      <c r="AY62" s="31">
        <v>3.1</v>
      </c>
      <c r="AZ62" s="13">
        <v>0.31</v>
      </c>
      <c r="BA62" s="13">
        <v>3173</v>
      </c>
      <c r="BB62" s="13">
        <v>65.45</v>
      </c>
      <c r="BC62" s="13">
        <v>10.6</v>
      </c>
      <c r="BD62" s="16">
        <v>6.9377</v>
      </c>
      <c r="BE62" s="13">
        <v>33.7</v>
      </c>
      <c r="BF62" s="13">
        <v>187</v>
      </c>
      <c r="BG62" s="31"/>
      <c r="BH62" s="13">
        <v>45</v>
      </c>
      <c r="BI62" s="31">
        <v>1234.6</v>
      </c>
      <c r="BJ62" s="31">
        <v>275</v>
      </c>
      <c r="BK62" s="13">
        <v>4.5</v>
      </c>
      <c r="BL62" s="13">
        <v>338167</v>
      </c>
      <c r="BM62" s="31">
        <v>99.6</v>
      </c>
      <c r="BN62" s="13" t="s">
        <v>103</v>
      </c>
      <c r="BO62" s="16">
        <v>16.205</v>
      </c>
      <c r="BP62" s="16">
        <v>37.7112688127807</v>
      </c>
      <c r="BQ62" s="16">
        <v>135.518901708812</v>
      </c>
      <c r="BR62" s="102">
        <v>46.4183381088825</v>
      </c>
      <c r="BS62" s="13" t="s">
        <v>102</v>
      </c>
      <c r="BT62" s="13" t="s">
        <v>105</v>
      </c>
      <c r="BU62" s="12">
        <v>45855</v>
      </c>
      <c r="BV62" s="13" t="s">
        <v>105</v>
      </c>
      <c r="BW62" s="31">
        <v>4.5</v>
      </c>
      <c r="BX62" s="13" t="s">
        <v>103</v>
      </c>
      <c r="BY62" s="13" t="s">
        <v>103</v>
      </c>
      <c r="BZ62" s="13" t="s">
        <v>103</v>
      </c>
    </row>
    <row r="63" spans="1:78">
      <c r="A63" s="12">
        <v>45854</v>
      </c>
      <c r="B63" s="13">
        <v>25107005</v>
      </c>
      <c r="C63" s="13"/>
      <c r="D63" s="13"/>
      <c r="E63" s="13">
        <v>1</v>
      </c>
      <c r="F63" s="13" t="s">
        <v>91</v>
      </c>
      <c r="G63" s="13">
        <v>41</v>
      </c>
      <c r="H63" s="13">
        <v>41</v>
      </c>
      <c r="I63" s="13" t="s">
        <v>92</v>
      </c>
      <c r="J63" s="13" t="s">
        <v>93</v>
      </c>
      <c r="K63" s="13" t="s">
        <v>94</v>
      </c>
      <c r="L63" s="13">
        <v>600</v>
      </c>
      <c r="M63" s="13">
        <v>4</v>
      </c>
      <c r="N63" s="13">
        <v>0.24</v>
      </c>
      <c r="O63" s="13">
        <v>61</v>
      </c>
      <c r="P63" s="31">
        <v>1.58</v>
      </c>
      <c r="Q63" s="16">
        <v>24.4351866688031</v>
      </c>
      <c r="R63" s="13">
        <v>61</v>
      </c>
      <c r="S63" s="13" t="s">
        <v>95</v>
      </c>
      <c r="T63" s="13">
        <v>231</v>
      </c>
      <c r="U63" s="13">
        <v>4015</v>
      </c>
      <c r="V63" s="16">
        <v>4.30012453300125</v>
      </c>
      <c r="W63" s="87">
        <v>16420</v>
      </c>
      <c r="X63" s="13">
        <v>17265</v>
      </c>
      <c r="Y63" s="13">
        <v>845</v>
      </c>
      <c r="Z63" s="13">
        <v>213</v>
      </c>
      <c r="AA63" s="13">
        <v>221.8</v>
      </c>
      <c r="AB63" s="13" t="s">
        <v>96</v>
      </c>
      <c r="AC63" s="13" t="s">
        <v>97</v>
      </c>
      <c r="AD63" s="13" t="s">
        <v>98</v>
      </c>
      <c r="AE63" s="13">
        <v>70</v>
      </c>
      <c r="AF63" s="13">
        <v>77.5</v>
      </c>
      <c r="AG63" s="13">
        <v>85</v>
      </c>
      <c r="AH63" s="13" t="s">
        <v>99</v>
      </c>
      <c r="AI63" s="13" t="s">
        <v>100</v>
      </c>
      <c r="AJ63" s="13" t="s">
        <v>101</v>
      </c>
      <c r="AK63" s="13" t="s">
        <v>102</v>
      </c>
      <c r="AL63" s="13" t="s">
        <v>113</v>
      </c>
      <c r="AM63" s="13" t="s">
        <v>100</v>
      </c>
      <c r="AN63" s="13" t="s">
        <v>101</v>
      </c>
      <c r="AO63" s="13" t="s">
        <v>102</v>
      </c>
      <c r="AP63" s="13" t="s">
        <v>113</v>
      </c>
      <c r="AQ63" s="13">
        <v>35.57</v>
      </c>
      <c r="AR63" s="13">
        <v>25.9</v>
      </c>
      <c r="AS63" s="16">
        <v>9.21263</v>
      </c>
      <c r="AT63" s="13">
        <v>42</v>
      </c>
      <c r="AU63" s="13">
        <v>162</v>
      </c>
      <c r="AV63" s="13">
        <v>429.05</v>
      </c>
      <c r="AW63" s="13">
        <v>83.7</v>
      </c>
      <c r="AX63" s="16">
        <v>359.11485</v>
      </c>
      <c r="AY63" s="31">
        <v>1.7</v>
      </c>
      <c r="AZ63" s="13">
        <v>0.14</v>
      </c>
      <c r="BA63" s="13">
        <v>1551</v>
      </c>
      <c r="BB63" s="13">
        <v>32.19</v>
      </c>
      <c r="BC63" s="13">
        <v>14.2</v>
      </c>
      <c r="BD63" s="16">
        <v>4.57098</v>
      </c>
      <c r="BE63" s="13">
        <v>44.2</v>
      </c>
      <c r="BF63" s="13">
        <v>101</v>
      </c>
      <c r="BG63" s="31"/>
      <c r="BH63" s="13">
        <v>55.6</v>
      </c>
      <c r="BI63" s="31">
        <v>2560.3</v>
      </c>
      <c r="BJ63" s="31">
        <v>567.8</v>
      </c>
      <c r="BK63" s="13">
        <v>9.3</v>
      </c>
      <c r="BL63" s="13">
        <v>445404</v>
      </c>
      <c r="BM63" s="31">
        <v>99.6</v>
      </c>
      <c r="BN63" s="13" t="s">
        <v>103</v>
      </c>
      <c r="BO63" s="16">
        <v>16.42</v>
      </c>
      <c r="BP63" s="16">
        <v>62.1938502790946</v>
      </c>
      <c r="BQ63" s="16">
        <v>237.397741119109</v>
      </c>
      <c r="BR63" s="102">
        <v>37.6543209876543</v>
      </c>
      <c r="BS63" s="13" t="s">
        <v>102</v>
      </c>
      <c r="BT63" s="13" t="s">
        <v>105</v>
      </c>
      <c r="BU63" s="12">
        <v>45855</v>
      </c>
      <c r="BV63" s="13" t="s">
        <v>105</v>
      </c>
      <c r="BW63" s="31">
        <v>9.3</v>
      </c>
      <c r="BX63" s="13" t="s">
        <v>103</v>
      </c>
      <c r="BY63" s="13" t="s">
        <v>103</v>
      </c>
      <c r="BZ63" s="13" t="s">
        <v>103</v>
      </c>
    </row>
    <row r="64" spans="1:78">
      <c r="A64" s="12">
        <v>45863</v>
      </c>
      <c r="B64" s="13">
        <v>25107008</v>
      </c>
      <c r="C64" s="13"/>
      <c r="D64" s="13"/>
      <c r="E64" s="13">
        <v>1</v>
      </c>
      <c r="F64" s="13" t="s">
        <v>111</v>
      </c>
      <c r="G64" s="13">
        <v>10</v>
      </c>
      <c r="H64" s="13">
        <v>10</v>
      </c>
      <c r="I64" s="13" t="s">
        <v>92</v>
      </c>
      <c r="J64" s="13" t="s">
        <v>115</v>
      </c>
      <c r="K64" s="13" t="s">
        <v>135</v>
      </c>
      <c r="L64" s="13">
        <v>600</v>
      </c>
      <c r="M64" s="13">
        <v>7</v>
      </c>
      <c r="N64" s="13">
        <v>0.12</v>
      </c>
      <c r="O64" s="13">
        <v>50</v>
      </c>
      <c r="P64" s="31">
        <v>1.34</v>
      </c>
      <c r="Q64" s="16">
        <v>27.8458453998663</v>
      </c>
      <c r="R64" s="13">
        <v>50</v>
      </c>
      <c r="S64" s="13" t="s">
        <v>95</v>
      </c>
      <c r="T64" s="13">
        <v>237</v>
      </c>
      <c r="U64" s="13">
        <v>2694</v>
      </c>
      <c r="V64" s="16">
        <v>4</v>
      </c>
      <c r="W64" s="87">
        <v>10237</v>
      </c>
      <c r="X64" s="13">
        <v>10776</v>
      </c>
      <c r="Y64" s="13">
        <v>539</v>
      </c>
      <c r="Z64" s="13">
        <v>184</v>
      </c>
      <c r="AA64" s="13">
        <v>176.3</v>
      </c>
      <c r="AB64" s="13" t="s">
        <v>96</v>
      </c>
      <c r="AC64" s="13" t="s">
        <v>108</v>
      </c>
      <c r="AD64" s="13" t="s">
        <v>98</v>
      </c>
      <c r="AE64" s="13">
        <v>45</v>
      </c>
      <c r="AF64" s="13">
        <v>47.5</v>
      </c>
      <c r="AG64" s="13">
        <v>50</v>
      </c>
      <c r="AH64" s="13" t="s">
        <v>151</v>
      </c>
      <c r="AI64" s="13" t="s">
        <v>100</v>
      </c>
      <c r="AJ64" s="13" t="s">
        <v>101</v>
      </c>
      <c r="AK64" s="13" t="s">
        <v>102</v>
      </c>
      <c r="AL64" s="13" t="s">
        <v>102</v>
      </c>
      <c r="AM64" s="13" t="s">
        <v>100</v>
      </c>
      <c r="AN64" s="13" t="s">
        <v>101</v>
      </c>
      <c r="AO64" s="13" t="s">
        <v>102</v>
      </c>
      <c r="AP64" s="13" t="s">
        <v>102</v>
      </c>
      <c r="AQ64" s="13">
        <v>9.88</v>
      </c>
      <c r="AR64" s="13">
        <v>22.8</v>
      </c>
      <c r="AS64" s="16">
        <v>2.25264</v>
      </c>
      <c r="AT64" s="13">
        <v>34.7</v>
      </c>
      <c r="AU64" s="13">
        <v>36</v>
      </c>
      <c r="AV64" s="13">
        <v>293.24</v>
      </c>
      <c r="AW64" s="13">
        <v>22.9</v>
      </c>
      <c r="AX64" s="16">
        <v>67.15196</v>
      </c>
      <c r="AY64" s="31">
        <v>1.4</v>
      </c>
      <c r="AZ64" s="13">
        <v>0.15</v>
      </c>
      <c r="BA64" s="13">
        <v>206</v>
      </c>
      <c r="BB64" s="13">
        <v>8</v>
      </c>
      <c r="BC64" s="13">
        <v>20.8</v>
      </c>
      <c r="BD64" s="16">
        <v>1.664</v>
      </c>
      <c r="BE64" s="13">
        <v>30.2</v>
      </c>
      <c r="BF64" s="13">
        <v>29</v>
      </c>
      <c r="BG64" s="31"/>
      <c r="BH64" s="13">
        <v>14.8</v>
      </c>
      <c r="BI64" s="31">
        <v>815</v>
      </c>
      <c r="BJ64" s="31">
        <v>143.6</v>
      </c>
      <c r="BK64" s="13">
        <v>2.87</v>
      </c>
      <c r="BL64" s="13">
        <v>313008</v>
      </c>
      <c r="BM64" s="31">
        <v>99.5</v>
      </c>
      <c r="BN64" s="13" t="s">
        <v>103</v>
      </c>
      <c r="BO64" s="16">
        <v>10.237</v>
      </c>
      <c r="BP64" s="16">
        <v>94.7807238712777</v>
      </c>
      <c r="BQ64" s="16">
        <v>291.201895987047</v>
      </c>
      <c r="BR64" s="102">
        <v>19.4444444444444</v>
      </c>
      <c r="BS64" s="13" t="s">
        <v>102</v>
      </c>
      <c r="BT64" s="13" t="s">
        <v>105</v>
      </c>
      <c r="BU64" s="12">
        <v>45867</v>
      </c>
      <c r="BV64" s="13" t="s">
        <v>105</v>
      </c>
      <c r="BW64" s="31">
        <v>2.87</v>
      </c>
      <c r="BX64" s="13" t="s">
        <v>103</v>
      </c>
      <c r="BY64" s="13" t="s">
        <v>103</v>
      </c>
      <c r="BZ64" s="13" t="s">
        <v>103</v>
      </c>
    </row>
    <row r="65" spans="1:78">
      <c r="A65" s="12">
        <v>45867</v>
      </c>
      <c r="B65" s="13">
        <v>25107009</v>
      </c>
      <c r="C65" s="13"/>
      <c r="D65" s="13"/>
      <c r="E65" s="13">
        <v>1</v>
      </c>
      <c r="F65" s="13" t="s">
        <v>91</v>
      </c>
      <c r="G65" s="13">
        <v>73</v>
      </c>
      <c r="H65" s="13">
        <v>73</v>
      </c>
      <c r="I65" s="13" t="s">
        <v>92</v>
      </c>
      <c r="J65" s="13" t="s">
        <v>93</v>
      </c>
      <c r="K65" s="13" t="s">
        <v>94</v>
      </c>
      <c r="L65" s="13">
        <v>900</v>
      </c>
      <c r="M65" s="13">
        <v>4</v>
      </c>
      <c r="N65" s="13">
        <v>0.24</v>
      </c>
      <c r="O65" s="13">
        <v>73</v>
      </c>
      <c r="P65" s="31">
        <v>1.72</v>
      </c>
      <c r="Q65" s="16">
        <v>24.6755002704164</v>
      </c>
      <c r="R65" s="13">
        <v>73</v>
      </c>
      <c r="S65" s="13" t="s">
        <v>95</v>
      </c>
      <c r="T65" s="13">
        <v>360</v>
      </c>
      <c r="U65" s="13">
        <v>4821</v>
      </c>
      <c r="V65" s="16">
        <v>4.78137315909562</v>
      </c>
      <c r="W65" s="87">
        <v>21918</v>
      </c>
      <c r="X65" s="13">
        <v>23051</v>
      </c>
      <c r="Y65" s="13">
        <v>1133</v>
      </c>
      <c r="Z65" s="13">
        <v>311</v>
      </c>
      <c r="AA65" s="13">
        <v>291.5</v>
      </c>
      <c r="AB65" s="13" t="s">
        <v>96</v>
      </c>
      <c r="AC65" s="13" t="s">
        <v>108</v>
      </c>
      <c r="AD65" s="13" t="s">
        <v>122</v>
      </c>
      <c r="AE65" s="13">
        <v>47</v>
      </c>
      <c r="AF65" s="13">
        <v>61</v>
      </c>
      <c r="AG65" s="13">
        <v>75</v>
      </c>
      <c r="AH65" s="13" t="s">
        <v>134</v>
      </c>
      <c r="AI65" s="13" t="s">
        <v>123</v>
      </c>
      <c r="AJ65" s="13" t="s">
        <v>101</v>
      </c>
      <c r="AK65" s="13" t="s">
        <v>102</v>
      </c>
      <c r="AL65" s="13" t="s">
        <v>102</v>
      </c>
      <c r="AM65" s="13" t="s">
        <v>123</v>
      </c>
      <c r="AN65" s="13" t="s">
        <v>101</v>
      </c>
      <c r="AO65" s="13" t="s">
        <v>102</v>
      </c>
      <c r="AP65" s="13" t="s">
        <v>102</v>
      </c>
      <c r="AQ65" s="13">
        <v>34.22</v>
      </c>
      <c r="AR65" s="13">
        <v>23</v>
      </c>
      <c r="AS65" s="16">
        <v>7.8706</v>
      </c>
      <c r="AT65" s="13">
        <v>43.6</v>
      </c>
      <c r="AU65" s="13">
        <v>196</v>
      </c>
      <c r="AV65" s="13">
        <v>267.99</v>
      </c>
      <c r="AW65" s="13">
        <v>92</v>
      </c>
      <c r="AX65" s="16">
        <v>246.5508</v>
      </c>
      <c r="AY65" s="31">
        <v>1.7</v>
      </c>
      <c r="AZ65" s="13">
        <v>0.23</v>
      </c>
      <c r="BA65" s="13">
        <v>2178</v>
      </c>
      <c r="BB65" s="13">
        <v>28.37</v>
      </c>
      <c r="BC65" s="13">
        <v>11.3</v>
      </c>
      <c r="BD65" s="16">
        <v>3.20581</v>
      </c>
      <c r="BE65" s="13">
        <v>39.7</v>
      </c>
      <c r="BF65" s="13">
        <v>89</v>
      </c>
      <c r="BG65" s="31"/>
      <c r="BH65" s="13">
        <v>13.7</v>
      </c>
      <c r="BI65" s="31">
        <v>749.9</v>
      </c>
      <c r="BJ65" s="31">
        <v>218.5</v>
      </c>
      <c r="BK65" s="13">
        <v>2.9</v>
      </c>
      <c r="BL65" s="13">
        <v>330360</v>
      </c>
      <c r="BM65" s="31">
        <v>99.4</v>
      </c>
      <c r="BN65" s="13" t="s">
        <v>103</v>
      </c>
      <c r="BO65" s="16">
        <v>21.918</v>
      </c>
      <c r="BP65" s="16">
        <v>72.7662428574188</v>
      </c>
      <c r="BQ65" s="16">
        <v>142.921528513189</v>
      </c>
      <c r="BR65" s="102">
        <v>54.5918367346939</v>
      </c>
      <c r="BS65" s="13" t="s">
        <v>102</v>
      </c>
      <c r="BT65" s="13" t="s">
        <v>105</v>
      </c>
      <c r="BU65" s="12">
        <v>45868</v>
      </c>
      <c r="BV65" s="13" t="s">
        <v>105</v>
      </c>
      <c r="BW65" s="31">
        <v>2.9</v>
      </c>
      <c r="BX65" s="13" t="s">
        <v>103</v>
      </c>
      <c r="BY65" s="13" t="s">
        <v>103</v>
      </c>
      <c r="BZ65" s="13" t="s">
        <v>103</v>
      </c>
    </row>
    <row r="66" spans="1:78">
      <c r="A66" s="12">
        <v>45868</v>
      </c>
      <c r="B66" s="13">
        <v>25107010</v>
      </c>
      <c r="C66" s="13"/>
      <c r="D66" s="13"/>
      <c r="E66" s="13">
        <v>1</v>
      </c>
      <c r="F66" s="13" t="s">
        <v>91</v>
      </c>
      <c r="G66" s="13">
        <v>41</v>
      </c>
      <c r="H66" s="13">
        <v>41</v>
      </c>
      <c r="I66" s="13" t="s">
        <v>92</v>
      </c>
      <c r="J66" s="13" t="s">
        <v>93</v>
      </c>
      <c r="K66" s="13" t="s">
        <v>94</v>
      </c>
      <c r="L66" s="13">
        <v>900</v>
      </c>
      <c r="M66" s="13">
        <v>4</v>
      </c>
      <c r="N66" s="13">
        <v>0.24</v>
      </c>
      <c r="O66" s="13">
        <v>91</v>
      </c>
      <c r="P66" s="31">
        <v>1.8</v>
      </c>
      <c r="Q66" s="16">
        <v>28.0864197530864</v>
      </c>
      <c r="R66" s="13">
        <v>91</v>
      </c>
      <c r="S66" s="13" t="s">
        <v>95</v>
      </c>
      <c r="T66" s="13">
        <v>355</v>
      </c>
      <c r="U66" s="13">
        <v>5673</v>
      </c>
      <c r="V66" s="16">
        <v>5.00017627357659</v>
      </c>
      <c r="W66" s="87">
        <v>26988</v>
      </c>
      <c r="X66" s="13">
        <v>28366</v>
      </c>
      <c r="Y66" s="13">
        <v>1378</v>
      </c>
      <c r="Z66" s="13">
        <v>337</v>
      </c>
      <c r="AA66" s="13">
        <v>326</v>
      </c>
      <c r="AB66" s="13" t="s">
        <v>96</v>
      </c>
      <c r="AC66" s="13" t="s">
        <v>108</v>
      </c>
      <c r="AD66" s="13" t="s">
        <v>98</v>
      </c>
      <c r="AE66" s="13">
        <v>80</v>
      </c>
      <c r="AF66" s="13">
        <v>82.5</v>
      </c>
      <c r="AG66" s="13">
        <v>85</v>
      </c>
      <c r="AH66" s="13" t="s">
        <v>99</v>
      </c>
      <c r="AI66" s="13" t="s">
        <v>100</v>
      </c>
      <c r="AJ66" s="13" t="s">
        <v>101</v>
      </c>
      <c r="AK66" s="13" t="s">
        <v>102</v>
      </c>
      <c r="AL66" s="13">
        <v>145</v>
      </c>
      <c r="AM66" s="13" t="s">
        <v>100</v>
      </c>
      <c r="AN66" s="13" t="s">
        <v>101</v>
      </c>
      <c r="AO66" s="13" t="s">
        <v>102</v>
      </c>
      <c r="AP66" s="13">
        <v>145</v>
      </c>
      <c r="AQ66" s="13">
        <v>45.8</v>
      </c>
      <c r="AR66" s="13">
        <v>16.6</v>
      </c>
      <c r="AS66" s="16">
        <v>7.6028</v>
      </c>
      <c r="AT66" s="13">
        <v>32.3</v>
      </c>
      <c r="AU66" s="13">
        <v>101</v>
      </c>
      <c r="AV66" s="13">
        <v>323.74</v>
      </c>
      <c r="AW66" s="13">
        <v>84.7</v>
      </c>
      <c r="AX66" s="16">
        <v>274.20778</v>
      </c>
      <c r="AY66" s="31">
        <v>1.1</v>
      </c>
      <c r="AZ66" s="13">
        <v>0.08</v>
      </c>
      <c r="BA66" s="13">
        <v>971</v>
      </c>
      <c r="BB66" s="13">
        <v>50.93</v>
      </c>
      <c r="BC66" s="13">
        <v>11.2</v>
      </c>
      <c r="BD66" s="16">
        <v>5.70416</v>
      </c>
      <c r="BE66" s="13">
        <v>33.4</v>
      </c>
      <c r="BF66" s="13">
        <v>63</v>
      </c>
      <c r="BG66" s="31"/>
      <c r="BH66" s="13">
        <v>24.8</v>
      </c>
      <c r="BI66" s="31">
        <v>1177.4</v>
      </c>
      <c r="BJ66" s="31">
        <v>383.8</v>
      </c>
      <c r="BK66" s="13">
        <v>4.2</v>
      </c>
      <c r="BL66" s="13">
        <v>393144</v>
      </c>
      <c r="BM66" s="31">
        <v>99.5</v>
      </c>
      <c r="BN66" s="13" t="s">
        <v>103</v>
      </c>
      <c r="BO66" s="16">
        <v>26.988</v>
      </c>
      <c r="BP66" s="16">
        <v>57.3432875782307</v>
      </c>
      <c r="BQ66" s="16">
        <v>133.639704043261</v>
      </c>
      <c r="BR66" s="102">
        <v>37.6237623762376</v>
      </c>
      <c r="BS66" s="13" t="s">
        <v>102</v>
      </c>
      <c r="BT66" s="13" t="s">
        <v>105</v>
      </c>
      <c r="BU66" s="12">
        <v>45870</v>
      </c>
      <c r="BV66" s="13" t="s">
        <v>105</v>
      </c>
      <c r="BW66" s="31">
        <v>4.2</v>
      </c>
      <c r="BX66" s="13" t="s">
        <v>103</v>
      </c>
      <c r="BY66" s="13" t="s">
        <v>103</v>
      </c>
      <c r="BZ66" s="13" t="s">
        <v>103</v>
      </c>
    </row>
    <row r="67" spans="1:78">
      <c r="A67" s="12">
        <v>45918</v>
      </c>
      <c r="B67" s="13">
        <v>25109012</v>
      </c>
      <c r="C67" s="13"/>
      <c r="D67" s="13"/>
      <c r="E67" s="13">
        <v>1</v>
      </c>
      <c r="F67" s="13" t="s">
        <v>111</v>
      </c>
      <c r="G67" s="13">
        <v>46</v>
      </c>
      <c r="H67" s="13">
        <v>46</v>
      </c>
      <c r="I67" s="13" t="s">
        <v>92</v>
      </c>
      <c r="J67" s="13" t="s">
        <v>93</v>
      </c>
      <c r="K67" s="13" t="s">
        <v>94</v>
      </c>
      <c r="L67" s="13">
        <v>600</v>
      </c>
      <c r="M67" s="13">
        <v>4</v>
      </c>
      <c r="N67" s="13">
        <v>0.24</v>
      </c>
      <c r="O67" s="13">
        <v>59</v>
      </c>
      <c r="P67" s="31">
        <v>1.68</v>
      </c>
      <c r="Q67" s="16">
        <v>20.9041950113379</v>
      </c>
      <c r="R67" s="13">
        <v>59</v>
      </c>
      <c r="S67" s="13" t="s">
        <v>95</v>
      </c>
      <c r="T67" s="13">
        <v>304</v>
      </c>
      <c r="U67" s="13">
        <v>3824</v>
      </c>
      <c r="V67" s="16">
        <v>5</v>
      </c>
      <c r="W67" s="87">
        <v>18178</v>
      </c>
      <c r="X67" s="13">
        <v>19120</v>
      </c>
      <c r="Y67" s="13">
        <v>942</v>
      </c>
      <c r="Z67" s="13">
        <v>294</v>
      </c>
      <c r="AA67" s="13">
        <v>291.1</v>
      </c>
      <c r="AB67" s="13" t="s">
        <v>96</v>
      </c>
      <c r="AC67" s="13" t="s">
        <v>108</v>
      </c>
      <c r="AD67" s="13" t="s">
        <v>98</v>
      </c>
      <c r="AE67" s="13">
        <v>80</v>
      </c>
      <c r="AF67" s="13">
        <v>67.5</v>
      </c>
      <c r="AG67" s="13">
        <v>70</v>
      </c>
      <c r="AH67" s="13" t="s">
        <v>142</v>
      </c>
      <c r="AI67" s="13" t="s">
        <v>110</v>
      </c>
      <c r="AJ67" s="13" t="s">
        <v>102</v>
      </c>
      <c r="AK67" s="11">
        <v>2.15</v>
      </c>
      <c r="AL67" s="118" t="s">
        <v>113</v>
      </c>
      <c r="AM67" s="13" t="s">
        <v>110</v>
      </c>
      <c r="AN67" s="13" t="s">
        <v>102</v>
      </c>
      <c r="AO67" s="11">
        <v>2.15</v>
      </c>
      <c r="AP67" s="118" t="s">
        <v>113</v>
      </c>
      <c r="AQ67" s="13">
        <v>62.14</v>
      </c>
      <c r="AR67" s="13">
        <v>22.8</v>
      </c>
      <c r="AS67" s="16">
        <v>14.16792</v>
      </c>
      <c r="AT67" s="13">
        <v>44.3</v>
      </c>
      <c r="AU67" s="13">
        <v>182</v>
      </c>
      <c r="AV67" s="13">
        <v>422.4</v>
      </c>
      <c r="AW67" s="13">
        <v>87.1</v>
      </c>
      <c r="AX67" s="16">
        <v>367.9104</v>
      </c>
      <c r="AY67" s="31">
        <v>1.4</v>
      </c>
      <c r="AZ67" s="13">
        <v>0.16</v>
      </c>
      <c r="BA67" s="13">
        <v>2288</v>
      </c>
      <c r="BB67" s="13">
        <v>62.95</v>
      </c>
      <c r="BC67" s="13">
        <v>8.7</v>
      </c>
      <c r="BD67" s="16">
        <v>5.47665</v>
      </c>
      <c r="BE67" s="13">
        <v>44.8</v>
      </c>
      <c r="BF67" s="13">
        <v>49</v>
      </c>
      <c r="BG67" s="31"/>
      <c r="BH67" s="13">
        <v>46.7</v>
      </c>
      <c r="BI67" s="31">
        <v>2082.9</v>
      </c>
      <c r="BJ67" s="31">
        <v>606.3</v>
      </c>
      <c r="BK67" s="13">
        <v>10.2</v>
      </c>
      <c r="BL67" s="13">
        <v>479328</v>
      </c>
      <c r="BM67" s="31">
        <v>99.4</v>
      </c>
      <c r="BN67" s="13" t="s">
        <v>103</v>
      </c>
      <c r="BO67" s="16">
        <v>18.178</v>
      </c>
      <c r="BP67" s="16">
        <v>71.4207799483716</v>
      </c>
      <c r="BQ67" s="16">
        <v>142.853165868202</v>
      </c>
      <c r="BR67" s="102">
        <v>73.0769230769231</v>
      </c>
      <c r="BS67" s="13" t="s">
        <v>102</v>
      </c>
      <c r="BT67" s="13" t="s">
        <v>105</v>
      </c>
      <c r="BU67" s="12">
        <v>45919</v>
      </c>
      <c r="BV67" s="13" t="s">
        <v>105</v>
      </c>
      <c r="BW67" s="31">
        <v>10.2</v>
      </c>
      <c r="BX67" s="13" t="s">
        <v>103</v>
      </c>
      <c r="BY67" s="13" t="s">
        <v>103</v>
      </c>
      <c r="BZ67" s="13" t="s">
        <v>103</v>
      </c>
    </row>
    <row r="68" s="84" customFormat="1" spans="1:63">
      <c r="A68" s="84" t="s">
        <v>180</v>
      </c>
      <c r="V68" s="115">
        <f>MEDIAN(V62:V67)</f>
        <v>4.89068657954781</v>
      </c>
      <c r="BK68" s="84">
        <f>MEDIAN(BK62:BK67)</f>
        <v>4.35</v>
      </c>
    </row>
    <row r="70" ht="15.75"/>
    <row r="71" ht="51.75" spans="1:89">
      <c r="A71" s="8" t="s">
        <v>0</v>
      </c>
      <c r="B71" s="9" t="s">
        <v>1</v>
      </c>
      <c r="C71" s="9" t="s">
        <v>2</v>
      </c>
      <c r="D71" s="9" t="s">
        <v>3</v>
      </c>
      <c r="E71" s="9" t="s">
        <v>4</v>
      </c>
      <c r="F71" s="9" t="s">
        <v>5</v>
      </c>
      <c r="G71" s="9" t="s">
        <v>6</v>
      </c>
      <c r="H71" s="9" t="s">
        <v>7</v>
      </c>
      <c r="I71" s="9" t="s">
        <v>8</v>
      </c>
      <c r="J71" s="9" t="s">
        <v>9</v>
      </c>
      <c r="K71" s="9" t="s">
        <v>10</v>
      </c>
      <c r="L71" s="9" t="s">
        <v>11</v>
      </c>
      <c r="M71" s="9" t="s">
        <v>12</v>
      </c>
      <c r="N71" s="9" t="s">
        <v>13</v>
      </c>
      <c r="O71" s="9" t="s">
        <v>14</v>
      </c>
      <c r="P71" s="18" t="s">
        <v>15</v>
      </c>
      <c r="Q71" s="14" t="s">
        <v>16</v>
      </c>
      <c r="R71" s="9" t="s">
        <v>17</v>
      </c>
      <c r="S71" s="9" t="s">
        <v>18</v>
      </c>
      <c r="T71" s="9" t="s">
        <v>19</v>
      </c>
      <c r="U71" s="9" t="s">
        <v>20</v>
      </c>
      <c r="V71" s="14" t="s">
        <v>21</v>
      </c>
      <c r="W71" s="85" t="s">
        <v>22</v>
      </c>
      <c r="X71" s="9" t="s">
        <v>23</v>
      </c>
      <c r="Y71" s="9" t="s">
        <v>24</v>
      </c>
      <c r="Z71" s="9" t="s">
        <v>25</v>
      </c>
      <c r="AA71" s="18" t="s">
        <v>26</v>
      </c>
      <c r="AB71" s="21" t="s">
        <v>27</v>
      </c>
      <c r="AC71" s="22" t="s">
        <v>28</v>
      </c>
      <c r="AD71" s="23" t="s">
        <v>29</v>
      </c>
      <c r="AE71" s="24" t="s">
        <v>30</v>
      </c>
      <c r="AF71" s="24" t="s">
        <v>31</v>
      </c>
      <c r="AG71" s="24" t="s">
        <v>32</v>
      </c>
      <c r="AH71" s="24" t="s">
        <v>33</v>
      </c>
      <c r="AI71" s="33" t="s">
        <v>34</v>
      </c>
      <c r="AJ71" s="33" t="s">
        <v>35</v>
      </c>
      <c r="AK71" s="33" t="s">
        <v>36</v>
      </c>
      <c r="AL71" s="33" t="s">
        <v>37</v>
      </c>
      <c r="AM71" s="89" t="s">
        <v>38</v>
      </c>
      <c r="AN71" s="89" t="s">
        <v>39</v>
      </c>
      <c r="AO71" s="89" t="s">
        <v>40</v>
      </c>
      <c r="AP71" s="89" t="s">
        <v>41</v>
      </c>
      <c r="AQ71" s="25" t="s">
        <v>42</v>
      </c>
      <c r="AR71" s="25" t="s">
        <v>43</v>
      </c>
      <c r="AS71" s="90" t="s">
        <v>44</v>
      </c>
      <c r="AT71" s="25" t="s">
        <v>45</v>
      </c>
      <c r="AU71" s="25" t="s">
        <v>46</v>
      </c>
      <c r="AV71" s="27" t="s">
        <v>47</v>
      </c>
      <c r="AW71" s="27" t="s">
        <v>48</v>
      </c>
      <c r="AX71" s="91" t="s">
        <v>49</v>
      </c>
      <c r="AY71" s="29" t="s">
        <v>51</v>
      </c>
      <c r="AZ71" s="27" t="s">
        <v>52</v>
      </c>
      <c r="BA71" s="27" t="s">
        <v>53</v>
      </c>
      <c r="BB71" s="92" t="s">
        <v>54</v>
      </c>
      <c r="BC71" s="92" t="s">
        <v>55</v>
      </c>
      <c r="BD71" s="91" t="s">
        <v>56</v>
      </c>
      <c r="BE71" s="93" t="s">
        <v>57</v>
      </c>
      <c r="BF71" s="92" t="s">
        <v>58</v>
      </c>
      <c r="BG71" s="94" t="s">
        <v>59</v>
      </c>
      <c r="BH71" s="95" t="s">
        <v>60</v>
      </c>
      <c r="BI71" s="96" t="s">
        <v>61</v>
      </c>
      <c r="BJ71" s="96" t="s">
        <v>62</v>
      </c>
      <c r="BK71" s="96" t="s">
        <v>63</v>
      </c>
      <c r="BL71" s="96" t="s">
        <v>64</v>
      </c>
      <c r="BM71" s="96" t="s">
        <v>65</v>
      </c>
      <c r="BN71" s="98" t="s">
        <v>66</v>
      </c>
      <c r="BO71" s="99" t="s">
        <v>67</v>
      </c>
      <c r="BP71" s="99" t="s">
        <v>68</v>
      </c>
      <c r="BQ71" s="99" t="s">
        <v>69</v>
      </c>
      <c r="BR71" s="100" t="s">
        <v>70</v>
      </c>
      <c r="BS71" s="101" t="s">
        <v>71</v>
      </c>
      <c r="BT71" s="24" t="s">
        <v>72</v>
      </c>
      <c r="BU71" s="24" t="s">
        <v>73</v>
      </c>
      <c r="BV71" s="24" t="s">
        <v>74</v>
      </c>
      <c r="BW71" s="104" t="s">
        <v>75</v>
      </c>
      <c r="BX71" s="105" t="s">
        <v>76</v>
      </c>
      <c r="BY71" s="106" t="s">
        <v>77</v>
      </c>
      <c r="BZ71" s="106" t="s">
        <v>78</v>
      </c>
      <c r="CA71" s="107" t="s">
        <v>79</v>
      </c>
      <c r="CB71" s="107" t="s">
        <v>80</v>
      </c>
      <c r="CC71" s="107" t="s">
        <v>81</v>
      </c>
      <c r="CD71" s="107" t="s">
        <v>82</v>
      </c>
      <c r="CE71" s="108" t="s">
        <v>84</v>
      </c>
      <c r="CF71" s="108" t="s">
        <v>85</v>
      </c>
      <c r="CG71" s="107" t="s">
        <v>86</v>
      </c>
      <c r="CH71" s="109" t="s">
        <v>87</v>
      </c>
      <c r="CI71" s="107" t="s">
        <v>88</v>
      </c>
      <c r="CJ71" s="110" t="s">
        <v>89</v>
      </c>
      <c r="CK71" s="111" t="s">
        <v>90</v>
      </c>
    </row>
    <row r="72" spans="1:89">
      <c r="A72" s="12">
        <v>45842</v>
      </c>
      <c r="B72" s="13">
        <v>25107001</v>
      </c>
      <c r="C72" s="13"/>
      <c r="D72" s="13"/>
      <c r="E72" s="13">
        <v>1</v>
      </c>
      <c r="F72" s="13" t="s">
        <v>111</v>
      </c>
      <c r="G72" s="13">
        <v>32</v>
      </c>
      <c r="H72" s="13">
        <v>21</v>
      </c>
      <c r="I72" s="13" t="s">
        <v>120</v>
      </c>
      <c r="J72" s="13" t="s">
        <v>125</v>
      </c>
      <c r="K72" s="13" t="s">
        <v>94</v>
      </c>
      <c r="L72" s="13">
        <v>900</v>
      </c>
      <c r="M72" s="13">
        <v>4</v>
      </c>
      <c r="N72" s="13" t="s">
        <v>103</v>
      </c>
      <c r="O72" s="13">
        <v>71</v>
      </c>
      <c r="P72" s="31">
        <v>1.65</v>
      </c>
      <c r="Q72" s="16">
        <v>26.078971533517</v>
      </c>
      <c r="R72" s="13">
        <v>51</v>
      </c>
      <c r="S72" s="13" t="s">
        <v>95</v>
      </c>
      <c r="T72" s="13">
        <v>111</v>
      </c>
      <c r="U72" s="13">
        <v>4132</v>
      </c>
      <c r="V72" s="16">
        <v>2.00024201355276</v>
      </c>
      <c r="W72" s="87">
        <v>7849</v>
      </c>
      <c r="X72" s="13">
        <v>8265</v>
      </c>
      <c r="Y72" s="13">
        <v>416</v>
      </c>
      <c r="Z72" s="13">
        <v>95</v>
      </c>
      <c r="AA72" s="13">
        <v>92.3</v>
      </c>
      <c r="AB72" s="13" t="s">
        <v>96</v>
      </c>
      <c r="AC72" s="13" t="s">
        <v>108</v>
      </c>
      <c r="AD72" s="13" t="s">
        <v>98</v>
      </c>
      <c r="AE72" s="13">
        <v>80</v>
      </c>
      <c r="AF72" s="13">
        <v>80</v>
      </c>
      <c r="AG72" s="13">
        <v>80</v>
      </c>
      <c r="AH72" s="13" t="s">
        <v>109</v>
      </c>
      <c r="AI72" s="13" t="s">
        <v>123</v>
      </c>
      <c r="AJ72" s="13" t="s">
        <v>102</v>
      </c>
      <c r="AK72" s="13" t="s">
        <v>102</v>
      </c>
      <c r="AL72" s="13">
        <v>189.7</v>
      </c>
      <c r="AM72" s="13" t="s">
        <v>136</v>
      </c>
      <c r="AN72" s="13" t="s">
        <v>102</v>
      </c>
      <c r="AO72" s="13" t="s">
        <v>102</v>
      </c>
      <c r="AP72" s="13">
        <v>95.8</v>
      </c>
      <c r="AQ72" s="13">
        <v>78.26</v>
      </c>
      <c r="AR72" s="13">
        <v>14.4</v>
      </c>
      <c r="AS72" s="16">
        <v>11.26944</v>
      </c>
      <c r="AT72" s="13">
        <v>35.6</v>
      </c>
      <c r="AU72" s="13">
        <v>226</v>
      </c>
      <c r="AV72" s="13">
        <v>648.7</v>
      </c>
      <c r="AW72" s="13">
        <v>76</v>
      </c>
      <c r="AX72" s="16">
        <v>493.012</v>
      </c>
      <c r="AY72" s="31">
        <v>5</v>
      </c>
      <c r="AZ72" s="13">
        <v>0.4</v>
      </c>
      <c r="BA72" s="13">
        <v>2750</v>
      </c>
      <c r="BB72" s="13">
        <v>77.23</v>
      </c>
      <c r="BC72" s="13">
        <v>10</v>
      </c>
      <c r="BD72" s="16">
        <v>7.723</v>
      </c>
      <c r="BE72" s="13">
        <v>33.5</v>
      </c>
      <c r="BF72" s="13">
        <v>152</v>
      </c>
      <c r="BG72" s="31"/>
      <c r="BH72" s="13">
        <v>153.9</v>
      </c>
      <c r="BI72" s="31">
        <v>5263.2</v>
      </c>
      <c r="BJ72" s="31">
        <v>485.7</v>
      </c>
      <c r="BK72" s="13">
        <v>9.5</v>
      </c>
      <c r="BL72" s="13">
        <v>575957</v>
      </c>
      <c r="BM72" s="31">
        <v>99</v>
      </c>
      <c r="BN72" s="13" t="s">
        <v>103</v>
      </c>
      <c r="BO72" s="16">
        <v>7.849</v>
      </c>
      <c r="BP72" s="16">
        <v>40.2082484278674</v>
      </c>
      <c r="BQ72" s="16">
        <v>557.366452740475</v>
      </c>
      <c r="BR72" s="102">
        <v>32.7433628318584</v>
      </c>
      <c r="BS72" s="13" t="s">
        <v>102</v>
      </c>
      <c r="BT72" s="13" t="s">
        <v>105</v>
      </c>
      <c r="BU72" s="12">
        <v>45844</v>
      </c>
      <c r="BV72" s="13" t="s">
        <v>105</v>
      </c>
      <c r="BW72" s="31">
        <v>8</v>
      </c>
      <c r="BX72" s="13" t="s">
        <v>103</v>
      </c>
      <c r="BY72" s="13" t="s">
        <v>103</v>
      </c>
      <c r="BZ72" s="13" t="s">
        <v>103</v>
      </c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</row>
    <row r="73" spans="1:89">
      <c r="A73" s="12">
        <v>45915</v>
      </c>
      <c r="B73" s="13">
        <v>25109010</v>
      </c>
      <c r="C73" s="13"/>
      <c r="D73" s="13"/>
      <c r="E73" s="13">
        <v>1</v>
      </c>
      <c r="F73" s="13" t="s">
        <v>91</v>
      </c>
      <c r="G73" s="13">
        <v>28</v>
      </c>
      <c r="H73" s="13">
        <v>37</v>
      </c>
      <c r="I73" s="13" t="s">
        <v>120</v>
      </c>
      <c r="J73" s="13" t="s">
        <v>125</v>
      </c>
      <c r="K73" s="13" t="s">
        <v>94</v>
      </c>
      <c r="L73" s="13">
        <v>900</v>
      </c>
      <c r="M73" s="13">
        <v>4</v>
      </c>
      <c r="N73" s="13" t="s">
        <v>103</v>
      </c>
      <c r="O73" s="13">
        <v>108</v>
      </c>
      <c r="P73" s="31">
        <v>1.75</v>
      </c>
      <c r="Q73" s="16">
        <v>35.265306122449</v>
      </c>
      <c r="R73" s="13">
        <v>71.2</v>
      </c>
      <c r="S73" s="13" t="s">
        <v>95</v>
      </c>
      <c r="T73" s="13">
        <v>312</v>
      </c>
      <c r="U73" s="13">
        <v>6047</v>
      </c>
      <c r="V73" s="16">
        <v>3</v>
      </c>
      <c r="W73" s="87">
        <v>17242</v>
      </c>
      <c r="X73" s="13">
        <v>18141</v>
      </c>
      <c r="Y73" s="13">
        <v>899</v>
      </c>
      <c r="Z73" s="13">
        <v>292</v>
      </c>
      <c r="AA73" s="13">
        <v>289.1</v>
      </c>
      <c r="AB73" s="13" t="s">
        <v>96</v>
      </c>
      <c r="AC73" s="13" t="s">
        <v>121</v>
      </c>
      <c r="AD73" s="13" t="s">
        <v>122</v>
      </c>
      <c r="AE73" s="13">
        <v>55</v>
      </c>
      <c r="AF73" s="13">
        <v>60</v>
      </c>
      <c r="AG73" s="13">
        <v>64</v>
      </c>
      <c r="AH73" s="13" t="s">
        <v>99</v>
      </c>
      <c r="AI73" s="13" t="s">
        <v>110</v>
      </c>
      <c r="AJ73" s="13" t="s">
        <v>101</v>
      </c>
      <c r="AK73" s="118" t="s">
        <v>102</v>
      </c>
      <c r="AL73" s="118">
        <v>200.7</v>
      </c>
      <c r="AM73" s="13" t="s">
        <v>110</v>
      </c>
      <c r="AN73" s="13" t="s">
        <v>101</v>
      </c>
      <c r="AO73" s="13" t="s">
        <v>102</v>
      </c>
      <c r="AP73" s="13" t="s">
        <v>113</v>
      </c>
      <c r="AQ73" s="13">
        <v>64.43</v>
      </c>
      <c r="AR73" s="13">
        <v>17.4</v>
      </c>
      <c r="AS73" s="16">
        <v>11.21082</v>
      </c>
      <c r="AT73" s="13">
        <v>44.6</v>
      </c>
      <c r="AU73" s="13">
        <v>178</v>
      </c>
      <c r="AV73" s="13">
        <v>439.66</v>
      </c>
      <c r="AW73" s="13">
        <v>70.1</v>
      </c>
      <c r="AX73" s="16">
        <v>308.20166</v>
      </c>
      <c r="AY73" s="31">
        <v>1.5</v>
      </c>
      <c r="AZ73" s="13">
        <v>0.11</v>
      </c>
      <c r="BA73" s="13">
        <v>14787</v>
      </c>
      <c r="BB73" s="13">
        <v>44.16</v>
      </c>
      <c r="BC73" s="13">
        <v>13.4</v>
      </c>
      <c r="BD73" s="16">
        <v>5.91744</v>
      </c>
      <c r="BE73" s="13">
        <v>45.3</v>
      </c>
      <c r="BF73" s="13">
        <v>108</v>
      </c>
      <c r="BG73" s="31"/>
      <c r="BH73" s="13">
        <v>81.3</v>
      </c>
      <c r="BI73" s="31">
        <v>2732.1</v>
      </c>
      <c r="BJ73" s="31">
        <v>789</v>
      </c>
      <c r="BK73" s="13">
        <v>11.09</v>
      </c>
      <c r="BL73" s="13">
        <v>508003</v>
      </c>
      <c r="BM73" s="31">
        <v>99.2</v>
      </c>
      <c r="BN73" s="13" t="s">
        <v>103</v>
      </c>
      <c r="BO73" s="16">
        <v>17.242</v>
      </c>
      <c r="BP73" s="16">
        <v>56.2857965895516</v>
      </c>
      <c r="BQ73" s="16">
        <v>159.444650597369</v>
      </c>
      <c r="BR73" s="102">
        <v>39.3258426966292</v>
      </c>
      <c r="BS73" s="13" t="s">
        <v>102</v>
      </c>
      <c r="BT73" s="13" t="s">
        <v>105</v>
      </c>
      <c r="BU73" s="12">
        <v>45916</v>
      </c>
      <c r="BV73" s="13" t="s">
        <v>105</v>
      </c>
      <c r="BW73" s="31">
        <v>11.09</v>
      </c>
      <c r="BX73" s="13" t="s">
        <v>103</v>
      </c>
      <c r="BY73" s="13" t="s">
        <v>103</v>
      </c>
      <c r="BZ73" s="13" t="s">
        <v>103</v>
      </c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</row>
    <row r="74" spans="1:89">
      <c r="A74" s="12">
        <v>45918</v>
      </c>
      <c r="B74" s="13">
        <v>25109011</v>
      </c>
      <c r="C74" s="13"/>
      <c r="D74" s="13"/>
      <c r="E74" s="13">
        <v>1</v>
      </c>
      <c r="F74" s="13" t="s">
        <v>91</v>
      </c>
      <c r="G74" s="13">
        <v>58</v>
      </c>
      <c r="H74" s="13">
        <v>52</v>
      </c>
      <c r="I74" s="13" t="s">
        <v>120</v>
      </c>
      <c r="J74" s="13" t="s">
        <v>112</v>
      </c>
      <c r="K74" s="13" t="s">
        <v>94</v>
      </c>
      <c r="L74" s="13">
        <v>900</v>
      </c>
      <c r="M74" s="13">
        <v>4</v>
      </c>
      <c r="N74" s="13" t="s">
        <v>103</v>
      </c>
      <c r="O74" s="13">
        <v>84.5</v>
      </c>
      <c r="P74" s="31">
        <v>1.72</v>
      </c>
      <c r="Q74" s="16">
        <v>28.5627366143862</v>
      </c>
      <c r="R74" s="13">
        <v>52.5</v>
      </c>
      <c r="S74" s="13" t="s">
        <v>95</v>
      </c>
      <c r="T74" s="13">
        <v>165</v>
      </c>
      <c r="U74" s="13">
        <v>5175</v>
      </c>
      <c r="V74" s="16">
        <v>2.50009661835749</v>
      </c>
      <c r="W74" s="87">
        <v>12297</v>
      </c>
      <c r="X74" s="13">
        <v>12938</v>
      </c>
      <c r="Y74" s="13">
        <v>641</v>
      </c>
      <c r="Z74" s="13">
        <v>144</v>
      </c>
      <c r="AA74" s="13">
        <v>142.6</v>
      </c>
      <c r="AB74" s="13" t="s">
        <v>96</v>
      </c>
      <c r="AC74" s="13" t="s">
        <v>97</v>
      </c>
      <c r="AD74" s="13" t="s">
        <v>98</v>
      </c>
      <c r="AE74" s="13">
        <v>85</v>
      </c>
      <c r="AF74" s="13">
        <v>82.5</v>
      </c>
      <c r="AG74" s="13">
        <v>80</v>
      </c>
      <c r="AH74" s="13" t="s">
        <v>99</v>
      </c>
      <c r="AI74" s="13" t="s">
        <v>100</v>
      </c>
      <c r="AJ74" s="13" t="s">
        <v>101</v>
      </c>
      <c r="AK74" s="118" t="s">
        <v>102</v>
      </c>
      <c r="AL74" s="118" t="s">
        <v>113</v>
      </c>
      <c r="AM74" s="13" t="s">
        <v>100</v>
      </c>
      <c r="AN74" s="13" t="s">
        <v>101</v>
      </c>
      <c r="AO74" s="13" t="s">
        <v>102</v>
      </c>
      <c r="AP74" s="13">
        <v>197.2</v>
      </c>
      <c r="AQ74" s="13">
        <v>45.69</v>
      </c>
      <c r="AR74" s="13">
        <v>25.7</v>
      </c>
      <c r="AS74" s="16">
        <v>11.74233</v>
      </c>
      <c r="AT74" s="13">
        <v>42.8</v>
      </c>
      <c r="AU74" s="13">
        <v>153</v>
      </c>
      <c r="AV74" s="13">
        <v>529.4</v>
      </c>
      <c r="AW74" s="13">
        <v>95.1</v>
      </c>
      <c r="AX74" s="16">
        <v>503.4594</v>
      </c>
      <c r="AY74" s="31">
        <v>4</v>
      </c>
      <c r="AZ74" s="13">
        <v>0.5</v>
      </c>
      <c r="BA74" s="13">
        <v>2470</v>
      </c>
      <c r="BB74" s="13">
        <v>35.22</v>
      </c>
      <c r="BC74" s="13">
        <v>17.5</v>
      </c>
      <c r="BD74" s="16">
        <v>6.1635</v>
      </c>
      <c r="BE74" s="13">
        <v>42.4</v>
      </c>
      <c r="BF74" s="13">
        <v>98</v>
      </c>
      <c r="BG74" s="31"/>
      <c r="BH74" s="13">
        <v>87.4</v>
      </c>
      <c r="BI74" s="31">
        <v>4150.6</v>
      </c>
      <c r="BJ74" s="31">
        <v>591.8</v>
      </c>
      <c r="BK74" s="13">
        <v>11.2</v>
      </c>
      <c r="BL74" s="13">
        <v>568514</v>
      </c>
      <c r="BM74" s="31">
        <v>99.5</v>
      </c>
      <c r="BN74" s="13" t="s">
        <v>103</v>
      </c>
      <c r="BO74" s="16">
        <v>12.297</v>
      </c>
      <c r="BP74" s="16">
        <v>55.0635687407898</v>
      </c>
      <c r="BQ74" s="16">
        <v>348.667124016176</v>
      </c>
      <c r="BR74" s="102">
        <v>35.9477124183007</v>
      </c>
      <c r="BS74" s="13" t="s">
        <v>102</v>
      </c>
      <c r="BT74" s="13" t="s">
        <v>105</v>
      </c>
      <c r="BU74" s="12">
        <v>45919</v>
      </c>
      <c r="BV74" s="13" t="s">
        <v>105</v>
      </c>
      <c r="BW74" s="31">
        <v>11.2</v>
      </c>
      <c r="BX74" s="13" t="s">
        <v>103</v>
      </c>
      <c r="BY74" s="13" t="s">
        <v>103</v>
      </c>
      <c r="BZ74" s="13" t="s">
        <v>103</v>
      </c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</row>
    <row r="75" spans="1:89">
      <c r="A75" s="12">
        <v>45924</v>
      </c>
      <c r="B75" s="13">
        <v>25109016</v>
      </c>
      <c r="C75" s="13"/>
      <c r="D75" s="13"/>
      <c r="E75" s="13">
        <v>1</v>
      </c>
      <c r="F75" s="13" t="s">
        <v>91</v>
      </c>
      <c r="G75" s="13">
        <v>26</v>
      </c>
      <c r="H75" s="13">
        <v>18</v>
      </c>
      <c r="I75" s="13" t="s">
        <v>120</v>
      </c>
      <c r="J75" s="13" t="s">
        <v>125</v>
      </c>
      <c r="K75" s="13" t="s">
        <v>94</v>
      </c>
      <c r="L75" s="13">
        <v>600</v>
      </c>
      <c r="M75" s="13">
        <v>4</v>
      </c>
      <c r="N75" s="13" t="s">
        <v>103</v>
      </c>
      <c r="O75" s="13">
        <v>75</v>
      </c>
      <c r="P75" s="31">
        <v>1.7</v>
      </c>
      <c r="Q75" s="16">
        <v>25.9515570934256</v>
      </c>
      <c r="R75" s="13">
        <v>54.5</v>
      </c>
      <c r="S75" s="13" t="s">
        <v>95</v>
      </c>
      <c r="T75" s="13">
        <v>246</v>
      </c>
      <c r="U75" s="13">
        <v>4821</v>
      </c>
      <c r="V75" s="16">
        <v>2.50010371292263</v>
      </c>
      <c r="W75" s="87">
        <v>11448</v>
      </c>
      <c r="X75" s="13">
        <v>12053</v>
      </c>
      <c r="Y75" s="13">
        <v>605</v>
      </c>
      <c r="Z75" s="13">
        <v>228</v>
      </c>
      <c r="AA75" s="13">
        <v>225.7</v>
      </c>
      <c r="AB75" s="13" t="s">
        <v>96</v>
      </c>
      <c r="AC75" s="13" t="s">
        <v>121</v>
      </c>
      <c r="AD75" s="13" t="s">
        <v>122</v>
      </c>
      <c r="AE75" s="13">
        <v>55</v>
      </c>
      <c r="AF75" s="13">
        <v>50</v>
      </c>
      <c r="AG75" s="13">
        <v>55</v>
      </c>
      <c r="AH75" s="13" t="s">
        <v>99</v>
      </c>
      <c r="AI75" s="13" t="s">
        <v>110</v>
      </c>
      <c r="AJ75" s="13" t="s">
        <v>101</v>
      </c>
      <c r="AK75" s="13" t="s">
        <v>102</v>
      </c>
      <c r="AL75" s="13">
        <v>42.4</v>
      </c>
      <c r="AM75" s="13" t="s">
        <v>100</v>
      </c>
      <c r="AN75" s="13" t="s">
        <v>101</v>
      </c>
      <c r="AO75" s="13" t="s">
        <v>102</v>
      </c>
      <c r="AP75" s="13">
        <v>200.8</v>
      </c>
      <c r="AQ75" s="13">
        <v>53.34</v>
      </c>
      <c r="AR75" s="13">
        <v>18.4</v>
      </c>
      <c r="AS75" s="16">
        <v>9.81456</v>
      </c>
      <c r="AT75" s="13">
        <v>44.8</v>
      </c>
      <c r="AU75" s="13">
        <v>215</v>
      </c>
      <c r="AV75" s="13">
        <v>516.8</v>
      </c>
      <c r="AW75" s="13">
        <v>62.2</v>
      </c>
      <c r="AX75" s="16">
        <v>321.4496</v>
      </c>
      <c r="AY75" s="31">
        <v>3</v>
      </c>
      <c r="AZ75" s="13">
        <v>0.3</v>
      </c>
      <c r="BA75" s="13">
        <v>1760</v>
      </c>
      <c r="BB75" s="13">
        <v>48.88</v>
      </c>
      <c r="BC75" s="13">
        <v>13</v>
      </c>
      <c r="BD75" s="16">
        <v>6.3544</v>
      </c>
      <c r="BE75" s="13">
        <v>46.2</v>
      </c>
      <c r="BF75" s="13">
        <v>127</v>
      </c>
      <c r="BG75" s="31"/>
      <c r="BH75" s="13">
        <v>106.9</v>
      </c>
      <c r="BI75" s="31">
        <v>3193.7</v>
      </c>
      <c r="BJ75" s="31">
        <v>720.78</v>
      </c>
      <c r="BK75" s="13">
        <v>13.2</v>
      </c>
      <c r="BL75" s="13">
        <v>523199</v>
      </c>
      <c r="BM75" s="31">
        <v>99.3</v>
      </c>
      <c r="BN75" s="13" t="s">
        <v>103</v>
      </c>
      <c r="BO75" s="16">
        <v>11.448</v>
      </c>
      <c r="BP75" s="16">
        <v>58.8973020887877</v>
      </c>
      <c r="BQ75" s="16">
        <v>286.096427355021</v>
      </c>
      <c r="BR75" s="102">
        <v>40.9302325581395</v>
      </c>
      <c r="BS75" s="13" t="s">
        <v>102</v>
      </c>
      <c r="BT75" s="13" t="s">
        <v>105</v>
      </c>
      <c r="BU75" s="12">
        <v>45925</v>
      </c>
      <c r="BV75" s="13" t="s">
        <v>105</v>
      </c>
      <c r="BW75" s="31">
        <v>10</v>
      </c>
      <c r="BX75" s="13" t="s">
        <v>103</v>
      </c>
      <c r="BY75" s="13" t="s">
        <v>103</v>
      </c>
      <c r="BZ75" s="13" t="s">
        <v>103</v>
      </c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</row>
    <row r="76" s="84" customFormat="1" spans="1:63">
      <c r="A76" s="84" t="s">
        <v>180</v>
      </c>
      <c r="V76" s="115">
        <f>MEDIAN(V72:V75)</f>
        <v>2.50010016564006</v>
      </c>
      <c r="BK76" s="84">
        <f>MEDIAN(BK72:BK75)</f>
        <v>11.145</v>
      </c>
    </row>
    <row r="78" ht="15.75"/>
    <row r="79" ht="51.75" spans="1:89">
      <c r="A79" s="8" t="s">
        <v>0</v>
      </c>
      <c r="B79" s="9" t="s">
        <v>1</v>
      </c>
      <c r="C79" s="9" t="s">
        <v>2</v>
      </c>
      <c r="D79" s="9" t="s">
        <v>3</v>
      </c>
      <c r="E79" s="9" t="s">
        <v>4</v>
      </c>
      <c r="F79" s="9" t="s">
        <v>5</v>
      </c>
      <c r="G79" s="9" t="s">
        <v>6</v>
      </c>
      <c r="H79" s="9" t="s">
        <v>7</v>
      </c>
      <c r="I79" s="9" t="s">
        <v>8</v>
      </c>
      <c r="J79" s="9" t="s">
        <v>9</v>
      </c>
      <c r="K79" s="9" t="s">
        <v>10</v>
      </c>
      <c r="L79" s="9" t="s">
        <v>11</v>
      </c>
      <c r="M79" s="9" t="s">
        <v>12</v>
      </c>
      <c r="N79" s="9" t="s">
        <v>13</v>
      </c>
      <c r="O79" s="9" t="s">
        <v>14</v>
      </c>
      <c r="P79" s="18" t="s">
        <v>15</v>
      </c>
      <c r="Q79" s="14" t="s">
        <v>16</v>
      </c>
      <c r="R79" s="9" t="s">
        <v>17</v>
      </c>
      <c r="S79" s="9" t="s">
        <v>18</v>
      </c>
      <c r="T79" s="9" t="s">
        <v>19</v>
      </c>
      <c r="U79" s="9" t="s">
        <v>20</v>
      </c>
      <c r="V79" s="14" t="s">
        <v>21</v>
      </c>
      <c r="W79" s="85" t="s">
        <v>22</v>
      </c>
      <c r="X79" s="9" t="s">
        <v>23</v>
      </c>
      <c r="Y79" s="9" t="s">
        <v>24</v>
      </c>
      <c r="Z79" s="9" t="s">
        <v>25</v>
      </c>
      <c r="AA79" s="18" t="s">
        <v>26</v>
      </c>
      <c r="AB79" s="21" t="s">
        <v>27</v>
      </c>
      <c r="AC79" s="22" t="s">
        <v>28</v>
      </c>
      <c r="AD79" s="23" t="s">
        <v>29</v>
      </c>
      <c r="AE79" s="24" t="s">
        <v>30</v>
      </c>
      <c r="AF79" s="24" t="s">
        <v>31</v>
      </c>
      <c r="AG79" s="24" t="s">
        <v>32</v>
      </c>
      <c r="AH79" s="24" t="s">
        <v>33</v>
      </c>
      <c r="AI79" s="33" t="s">
        <v>34</v>
      </c>
      <c r="AJ79" s="33" t="s">
        <v>35</v>
      </c>
      <c r="AK79" s="33" t="s">
        <v>36</v>
      </c>
      <c r="AL79" s="33" t="s">
        <v>37</v>
      </c>
      <c r="AM79" s="89" t="s">
        <v>38</v>
      </c>
      <c r="AN79" s="89" t="s">
        <v>39</v>
      </c>
      <c r="AO79" s="89" t="s">
        <v>40</v>
      </c>
      <c r="AP79" s="89" t="s">
        <v>41</v>
      </c>
      <c r="AQ79" s="25" t="s">
        <v>42</v>
      </c>
      <c r="AR79" s="25" t="s">
        <v>43</v>
      </c>
      <c r="AS79" s="90" t="s">
        <v>44</v>
      </c>
      <c r="AT79" s="25" t="s">
        <v>45</v>
      </c>
      <c r="AU79" s="25" t="s">
        <v>46</v>
      </c>
      <c r="AV79" s="27" t="s">
        <v>47</v>
      </c>
      <c r="AW79" s="27" t="s">
        <v>48</v>
      </c>
      <c r="AX79" s="91" t="s">
        <v>49</v>
      </c>
      <c r="AY79" s="29" t="s">
        <v>51</v>
      </c>
      <c r="AZ79" s="27" t="s">
        <v>52</v>
      </c>
      <c r="BA79" s="27" t="s">
        <v>53</v>
      </c>
      <c r="BB79" s="92" t="s">
        <v>54</v>
      </c>
      <c r="BC79" s="92" t="s">
        <v>55</v>
      </c>
      <c r="BD79" s="91" t="s">
        <v>56</v>
      </c>
      <c r="BE79" s="93" t="s">
        <v>57</v>
      </c>
      <c r="BF79" s="92" t="s">
        <v>58</v>
      </c>
      <c r="BG79" s="94" t="s">
        <v>59</v>
      </c>
      <c r="BH79" s="95" t="s">
        <v>60</v>
      </c>
      <c r="BI79" s="96" t="s">
        <v>61</v>
      </c>
      <c r="BJ79" s="96" t="s">
        <v>62</v>
      </c>
      <c r="BK79" s="96" t="s">
        <v>63</v>
      </c>
      <c r="BL79" s="96" t="s">
        <v>64</v>
      </c>
      <c r="BM79" s="96" t="s">
        <v>65</v>
      </c>
      <c r="BN79" s="98" t="s">
        <v>66</v>
      </c>
      <c r="BO79" s="99" t="s">
        <v>67</v>
      </c>
      <c r="BP79" s="99" t="s">
        <v>68</v>
      </c>
      <c r="BQ79" s="99" t="s">
        <v>69</v>
      </c>
      <c r="BR79" s="100" t="s">
        <v>70</v>
      </c>
      <c r="BS79" s="101" t="s">
        <v>71</v>
      </c>
      <c r="BT79" s="24" t="s">
        <v>72</v>
      </c>
      <c r="BU79" s="24" t="s">
        <v>73</v>
      </c>
      <c r="BV79" s="24" t="s">
        <v>74</v>
      </c>
      <c r="BW79" s="104" t="s">
        <v>75</v>
      </c>
      <c r="BX79" s="105" t="s">
        <v>76</v>
      </c>
      <c r="BY79" s="106" t="s">
        <v>77</v>
      </c>
      <c r="BZ79" s="106" t="s">
        <v>78</v>
      </c>
      <c r="CA79" s="107" t="s">
        <v>79</v>
      </c>
      <c r="CB79" s="107" t="s">
        <v>80</v>
      </c>
      <c r="CC79" s="107" t="s">
        <v>81</v>
      </c>
      <c r="CD79" s="107" t="s">
        <v>82</v>
      </c>
      <c r="CE79" s="108" t="s">
        <v>84</v>
      </c>
      <c r="CF79" s="108" t="s">
        <v>85</v>
      </c>
      <c r="CG79" s="107" t="s">
        <v>86</v>
      </c>
      <c r="CH79" s="109" t="s">
        <v>87</v>
      </c>
      <c r="CI79" s="107" t="s">
        <v>88</v>
      </c>
      <c r="CJ79" s="110" t="s">
        <v>89</v>
      </c>
      <c r="CK79" s="111" t="s">
        <v>90</v>
      </c>
    </row>
    <row r="80" spans="1:89">
      <c r="A80" s="12">
        <v>45856</v>
      </c>
      <c r="B80" s="13">
        <v>25107006</v>
      </c>
      <c r="C80" s="13"/>
      <c r="D80" s="13"/>
      <c r="E80" s="13">
        <v>1</v>
      </c>
      <c r="F80" s="13" t="s">
        <v>91</v>
      </c>
      <c r="G80" s="13">
        <v>56</v>
      </c>
      <c r="H80" s="13">
        <v>25</v>
      </c>
      <c r="I80" s="13" t="s">
        <v>124</v>
      </c>
      <c r="J80" s="13" t="s">
        <v>112</v>
      </c>
      <c r="K80" s="13" t="s">
        <v>94</v>
      </c>
      <c r="L80" s="13">
        <v>900</v>
      </c>
      <c r="M80" s="13">
        <v>3</v>
      </c>
      <c r="N80" s="13" t="s">
        <v>103</v>
      </c>
      <c r="O80" s="13">
        <v>101</v>
      </c>
      <c r="P80" s="31">
        <v>1.72</v>
      </c>
      <c r="Q80" s="16">
        <v>34.1400757166036</v>
      </c>
      <c r="R80" s="13">
        <v>67.3</v>
      </c>
      <c r="S80" s="13" t="s">
        <v>95</v>
      </c>
      <c r="T80" s="13">
        <v>327</v>
      </c>
      <c r="U80" s="13">
        <v>5722</v>
      </c>
      <c r="V80" s="16">
        <v>2.84900384480951</v>
      </c>
      <c r="W80" s="87">
        <v>15503</v>
      </c>
      <c r="X80" s="13">
        <v>16302</v>
      </c>
      <c r="Y80" s="13">
        <v>799</v>
      </c>
      <c r="Z80" s="13">
        <v>281</v>
      </c>
      <c r="AA80" s="13">
        <v>275.8</v>
      </c>
      <c r="AB80" s="13" t="s">
        <v>96</v>
      </c>
      <c r="AC80" s="13" t="s">
        <v>108</v>
      </c>
      <c r="AD80" s="13" t="s">
        <v>122</v>
      </c>
      <c r="AE80" s="13">
        <v>50</v>
      </c>
      <c r="AF80" s="13">
        <v>55</v>
      </c>
      <c r="AG80" s="13">
        <v>57</v>
      </c>
      <c r="AH80" s="13" t="s">
        <v>134</v>
      </c>
      <c r="AI80" s="13" t="s">
        <v>136</v>
      </c>
      <c r="AJ80" s="13" t="s">
        <v>102</v>
      </c>
      <c r="AK80" s="13" t="s">
        <v>102</v>
      </c>
      <c r="AL80" s="13" t="s">
        <v>102</v>
      </c>
      <c r="AM80" s="13" t="s">
        <v>150</v>
      </c>
      <c r="AN80" s="13" t="s">
        <v>102</v>
      </c>
      <c r="AO80" s="13" t="s">
        <v>102</v>
      </c>
      <c r="AP80" s="13">
        <v>95.3</v>
      </c>
      <c r="AQ80" s="13">
        <v>48.39</v>
      </c>
      <c r="AR80" s="13">
        <v>18.2</v>
      </c>
      <c r="AS80" s="16">
        <v>8.80698</v>
      </c>
      <c r="AT80" s="13">
        <v>42.8</v>
      </c>
      <c r="AU80" s="13">
        <v>272</v>
      </c>
      <c r="AV80" s="13">
        <v>253.8</v>
      </c>
      <c r="AW80" s="13">
        <v>86.3</v>
      </c>
      <c r="AX80" s="16">
        <v>219.0294</v>
      </c>
      <c r="AY80" s="31">
        <v>2</v>
      </c>
      <c r="AZ80" s="13">
        <v>0.27</v>
      </c>
      <c r="BA80" s="13">
        <v>3207</v>
      </c>
      <c r="BB80" s="13">
        <v>46.92</v>
      </c>
      <c r="BC80" s="13">
        <v>12.5</v>
      </c>
      <c r="BD80" s="16">
        <v>5.865</v>
      </c>
      <c r="BE80" s="13">
        <v>41.7</v>
      </c>
      <c r="BF80" s="13">
        <v>146</v>
      </c>
      <c r="BG80" s="31"/>
      <c r="BH80" s="13">
        <v>64.7</v>
      </c>
      <c r="BI80" s="31">
        <v>2618.9</v>
      </c>
      <c r="BJ80" s="31">
        <v>722.2</v>
      </c>
      <c r="BK80" s="13">
        <v>10.7</v>
      </c>
      <c r="BL80" s="13">
        <v>247099</v>
      </c>
      <c r="BM80" s="31">
        <v>99.1</v>
      </c>
      <c r="BN80" s="13" t="s">
        <v>103</v>
      </c>
      <c r="BO80" s="16">
        <v>15.503</v>
      </c>
      <c r="BP80" s="16">
        <v>72.0008222968462</v>
      </c>
      <c r="BQ80" s="16">
        <v>160.420422698719</v>
      </c>
      <c r="BR80" s="102">
        <v>46.3235294117647</v>
      </c>
      <c r="BS80" s="13" t="s">
        <v>102</v>
      </c>
      <c r="BT80" s="13" t="s">
        <v>105</v>
      </c>
      <c r="BU80" s="12">
        <v>45859</v>
      </c>
      <c r="BV80" s="13" t="s">
        <v>105</v>
      </c>
      <c r="BW80" s="31">
        <v>10.7</v>
      </c>
      <c r="BX80" s="13" t="s">
        <v>103</v>
      </c>
      <c r="BY80" s="13" t="s">
        <v>103</v>
      </c>
      <c r="BZ80" s="13" t="s">
        <v>103</v>
      </c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</row>
    <row r="81" spans="1:89">
      <c r="A81" s="12">
        <v>45875</v>
      </c>
      <c r="B81" s="13">
        <v>25108001</v>
      </c>
      <c r="C81" s="13"/>
      <c r="D81" s="13"/>
      <c r="E81" s="13">
        <v>1</v>
      </c>
      <c r="F81" s="13" t="s">
        <v>91</v>
      </c>
      <c r="G81" s="13">
        <v>37</v>
      </c>
      <c r="H81" s="13">
        <v>42</v>
      </c>
      <c r="I81" s="13" t="s">
        <v>124</v>
      </c>
      <c r="J81" s="13" t="s">
        <v>125</v>
      </c>
      <c r="K81" s="13" t="s">
        <v>94</v>
      </c>
      <c r="L81" s="13">
        <v>600</v>
      </c>
      <c r="M81" s="13">
        <v>4</v>
      </c>
      <c r="N81" s="13" t="s">
        <v>103</v>
      </c>
      <c r="O81" s="13">
        <v>73</v>
      </c>
      <c r="P81" s="31">
        <v>1.65</v>
      </c>
      <c r="Q81" s="16">
        <v>26.8135904499541</v>
      </c>
      <c r="R81" s="13">
        <v>64</v>
      </c>
      <c r="S81" s="13" t="s">
        <v>95</v>
      </c>
      <c r="T81" s="13">
        <v>224</v>
      </c>
      <c r="U81" s="13">
        <v>4602</v>
      </c>
      <c r="V81" s="16">
        <v>2.30008691873099</v>
      </c>
      <c r="W81" s="87">
        <v>10057</v>
      </c>
      <c r="X81" s="13">
        <v>10585</v>
      </c>
      <c r="Y81" s="13">
        <v>528</v>
      </c>
      <c r="Z81" s="13">
        <v>202</v>
      </c>
      <c r="AA81" s="13">
        <v>199.6</v>
      </c>
      <c r="AB81" s="13" t="s">
        <v>96</v>
      </c>
      <c r="AC81" s="13" t="s">
        <v>121</v>
      </c>
      <c r="AD81" s="13" t="s">
        <v>122</v>
      </c>
      <c r="AE81" s="13">
        <v>52</v>
      </c>
      <c r="AF81" s="13">
        <v>51</v>
      </c>
      <c r="AG81" s="13">
        <v>50</v>
      </c>
      <c r="AH81" s="13" t="s">
        <v>99</v>
      </c>
      <c r="AI81" s="13" t="s">
        <v>100</v>
      </c>
      <c r="AJ81" s="13" t="s">
        <v>101</v>
      </c>
      <c r="AK81" s="13" t="s">
        <v>102</v>
      </c>
      <c r="AL81" s="13" t="s">
        <v>113</v>
      </c>
      <c r="AM81" s="13" t="s">
        <v>100</v>
      </c>
      <c r="AN81" s="13" t="s">
        <v>101</v>
      </c>
      <c r="AO81" s="13" t="s">
        <v>102</v>
      </c>
      <c r="AP81" s="13" t="s">
        <v>113</v>
      </c>
      <c r="AQ81" s="13">
        <v>63.57</v>
      </c>
      <c r="AR81" s="13">
        <v>13.5</v>
      </c>
      <c r="AS81" s="16">
        <v>8.58195</v>
      </c>
      <c r="AT81" s="13">
        <v>48.4</v>
      </c>
      <c r="AU81" s="13">
        <v>197</v>
      </c>
      <c r="AV81" s="13">
        <v>362.73</v>
      </c>
      <c r="AW81" s="13">
        <v>60.1</v>
      </c>
      <c r="AX81" s="16">
        <v>218.00073</v>
      </c>
      <c r="AY81" s="31">
        <v>2.5</v>
      </c>
      <c r="AZ81" s="13">
        <v>0.33</v>
      </c>
      <c r="BA81" s="13">
        <v>2435</v>
      </c>
      <c r="BB81" s="13">
        <v>49.56</v>
      </c>
      <c r="BC81" s="13">
        <v>10.1</v>
      </c>
      <c r="BD81" s="16">
        <v>5.00556</v>
      </c>
      <c r="BE81" s="13">
        <v>49.2</v>
      </c>
      <c r="BF81" s="13">
        <v>117</v>
      </c>
      <c r="BG81" s="31"/>
      <c r="BH81" s="13">
        <v>153.7</v>
      </c>
      <c r="BI81" s="31">
        <v>4208.4</v>
      </c>
      <c r="BJ81" s="31">
        <v>839.9</v>
      </c>
      <c r="BK81" s="13">
        <v>13.1</v>
      </c>
      <c r="BL81" s="13">
        <v>465690</v>
      </c>
      <c r="BM81" s="31">
        <v>99.2</v>
      </c>
      <c r="BN81" s="13" t="s">
        <v>103</v>
      </c>
      <c r="BO81" s="16">
        <v>10.057</v>
      </c>
      <c r="BP81" s="16">
        <v>54.335699654455</v>
      </c>
      <c r="BQ81" s="16">
        <v>252.58265142459</v>
      </c>
      <c r="BR81" s="102">
        <v>40.6091370558376</v>
      </c>
      <c r="BS81" s="13" t="s">
        <v>102</v>
      </c>
      <c r="BT81" s="13" t="s">
        <v>105</v>
      </c>
      <c r="BU81" s="12">
        <v>45877</v>
      </c>
      <c r="BV81" s="13" t="s">
        <v>105</v>
      </c>
      <c r="BW81" s="31">
        <v>10</v>
      </c>
      <c r="BX81" s="13" t="s">
        <v>103</v>
      </c>
      <c r="BY81" s="13" t="s">
        <v>103</v>
      </c>
      <c r="BZ81" s="13" t="s">
        <v>103</v>
      </c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</row>
    <row r="82" spans="1:89">
      <c r="A82" s="12">
        <v>45884</v>
      </c>
      <c r="B82" s="13">
        <v>25108005</v>
      </c>
      <c r="C82" s="13"/>
      <c r="D82" s="13"/>
      <c r="E82" s="13">
        <v>1</v>
      </c>
      <c r="F82" s="13" t="s">
        <v>91</v>
      </c>
      <c r="G82" s="13">
        <v>25</v>
      </c>
      <c r="H82" s="13">
        <v>19</v>
      </c>
      <c r="I82" s="13" t="s">
        <v>124</v>
      </c>
      <c r="J82" s="13" t="s">
        <v>125</v>
      </c>
      <c r="K82" s="13" t="s">
        <v>94</v>
      </c>
      <c r="L82" s="13">
        <v>900</v>
      </c>
      <c r="M82" s="13">
        <v>4</v>
      </c>
      <c r="N82" s="13" t="s">
        <v>103</v>
      </c>
      <c r="O82" s="13">
        <v>108.5</v>
      </c>
      <c r="P82" s="31">
        <v>1.67</v>
      </c>
      <c r="Q82" s="16">
        <v>38.9042274731973</v>
      </c>
      <c r="R82" s="13">
        <v>70</v>
      </c>
      <c r="S82" s="13" t="s">
        <v>95</v>
      </c>
      <c r="T82" s="13">
        <v>145</v>
      </c>
      <c r="U82" s="13">
        <v>5789</v>
      </c>
      <c r="V82" s="16">
        <v>2</v>
      </c>
      <c r="W82" s="87">
        <v>11002</v>
      </c>
      <c r="X82" s="13">
        <v>11578</v>
      </c>
      <c r="Y82" s="13">
        <v>576</v>
      </c>
      <c r="Z82" s="13">
        <v>131</v>
      </c>
      <c r="AA82" s="13">
        <v>129</v>
      </c>
      <c r="AB82" s="13" t="s">
        <v>96</v>
      </c>
      <c r="AC82" s="13" t="s">
        <v>97</v>
      </c>
      <c r="AD82" s="13" t="s">
        <v>98</v>
      </c>
      <c r="AE82" s="13">
        <v>85</v>
      </c>
      <c r="AF82" s="13">
        <v>85</v>
      </c>
      <c r="AG82" s="13">
        <v>85</v>
      </c>
      <c r="AH82" s="13" t="s">
        <v>126</v>
      </c>
      <c r="AI82" s="13" t="s">
        <v>110</v>
      </c>
      <c r="AJ82" s="118" t="s">
        <v>101</v>
      </c>
      <c r="AK82" s="13" t="s">
        <v>102</v>
      </c>
      <c r="AL82" s="13" t="s">
        <v>113</v>
      </c>
      <c r="AM82" s="13" t="s">
        <v>100</v>
      </c>
      <c r="AN82" s="13" t="s">
        <v>101</v>
      </c>
      <c r="AO82" s="13" t="s">
        <v>102</v>
      </c>
      <c r="AP82" s="13">
        <v>204.4</v>
      </c>
      <c r="AQ82" s="13">
        <v>64.76</v>
      </c>
      <c r="AR82" s="13">
        <v>15.4</v>
      </c>
      <c r="AS82" s="16">
        <v>9.97304</v>
      </c>
      <c r="AT82" s="13">
        <v>43.2</v>
      </c>
      <c r="AU82" s="13">
        <v>265</v>
      </c>
      <c r="AV82" s="13">
        <v>727.3</v>
      </c>
      <c r="AW82" s="13">
        <v>72</v>
      </c>
      <c r="AX82" s="16">
        <v>523.656</v>
      </c>
      <c r="AY82" s="31">
        <v>5</v>
      </c>
      <c r="AZ82" s="13">
        <v>0.3</v>
      </c>
      <c r="BA82" s="13">
        <v>4150</v>
      </c>
      <c r="BB82" s="13">
        <v>49.82</v>
      </c>
      <c r="BC82" s="13">
        <v>12.8</v>
      </c>
      <c r="BD82" s="16">
        <v>6.37696</v>
      </c>
      <c r="BE82" s="13">
        <v>42.4</v>
      </c>
      <c r="BF82" s="13">
        <v>169</v>
      </c>
      <c r="BG82" s="31"/>
      <c r="BH82" s="13">
        <v>180.5</v>
      </c>
      <c r="BI82" s="31">
        <v>8549.6</v>
      </c>
      <c r="BJ82" s="31">
        <v>1102.9</v>
      </c>
      <c r="BK82" s="13">
        <v>15.7</v>
      </c>
      <c r="BL82" s="13">
        <v>690259</v>
      </c>
      <c r="BM82" s="31">
        <v>99.2</v>
      </c>
      <c r="BN82" s="13" t="s">
        <v>103</v>
      </c>
      <c r="BO82" s="16">
        <v>11.002</v>
      </c>
      <c r="BP82" s="16">
        <v>55.5376232274062</v>
      </c>
      <c r="BQ82" s="16">
        <v>477.251038915441</v>
      </c>
      <c r="BR82" s="102">
        <v>36.2264150943396</v>
      </c>
      <c r="BS82" s="13" t="s">
        <v>102</v>
      </c>
      <c r="BT82" s="13" t="s">
        <v>105</v>
      </c>
      <c r="BU82" s="12">
        <v>45886</v>
      </c>
      <c r="BV82" s="13" t="s">
        <v>105</v>
      </c>
      <c r="BW82" s="31">
        <v>10</v>
      </c>
      <c r="BX82" s="13" t="s">
        <v>103</v>
      </c>
      <c r="BY82" s="13" t="s">
        <v>103</v>
      </c>
      <c r="BZ82" s="13" t="s">
        <v>103</v>
      </c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</row>
    <row r="83" spans="1:89">
      <c r="A83" s="12">
        <v>45884</v>
      </c>
      <c r="B83" s="13">
        <v>25108006</v>
      </c>
      <c r="C83" s="13"/>
      <c r="D83" s="13"/>
      <c r="E83" s="13">
        <v>1</v>
      </c>
      <c r="F83" s="13" t="s">
        <v>91</v>
      </c>
      <c r="G83" s="13">
        <v>22</v>
      </c>
      <c r="H83" s="13">
        <v>41</v>
      </c>
      <c r="I83" s="13" t="s">
        <v>124</v>
      </c>
      <c r="J83" s="13" t="s">
        <v>112</v>
      </c>
      <c r="K83" s="13" t="s">
        <v>94</v>
      </c>
      <c r="L83" s="13">
        <v>600</v>
      </c>
      <c r="M83" s="13">
        <v>4</v>
      </c>
      <c r="N83" s="13" t="s">
        <v>103</v>
      </c>
      <c r="O83" s="13">
        <v>65</v>
      </c>
      <c r="P83" s="31">
        <v>1.71</v>
      </c>
      <c r="Q83" s="16">
        <v>22.2290619335864</v>
      </c>
      <c r="R83" s="13">
        <v>74</v>
      </c>
      <c r="S83" s="13" t="s">
        <v>95</v>
      </c>
      <c r="T83" s="13">
        <v>244</v>
      </c>
      <c r="U83" s="13">
        <v>4531</v>
      </c>
      <c r="V83" s="16">
        <v>4.00022070183183</v>
      </c>
      <c r="W83" s="87">
        <v>17228</v>
      </c>
      <c r="X83" s="13">
        <v>18125</v>
      </c>
      <c r="Y83" s="13">
        <v>897</v>
      </c>
      <c r="Z83" s="13">
        <v>226</v>
      </c>
      <c r="AA83" s="13">
        <v>274.6</v>
      </c>
      <c r="AB83" s="13" t="s">
        <v>96</v>
      </c>
      <c r="AC83" s="13" t="s">
        <v>121</v>
      </c>
      <c r="AD83" s="13" t="s">
        <v>122</v>
      </c>
      <c r="AE83" s="13">
        <v>80</v>
      </c>
      <c r="AF83" s="13">
        <v>85</v>
      </c>
      <c r="AG83" s="13">
        <v>85</v>
      </c>
      <c r="AH83" s="13" t="s">
        <v>99</v>
      </c>
      <c r="AI83" s="13" t="s">
        <v>100</v>
      </c>
      <c r="AJ83" s="13" t="s">
        <v>101</v>
      </c>
      <c r="AK83" s="11" t="s">
        <v>102</v>
      </c>
      <c r="AL83" s="13">
        <v>180.2</v>
      </c>
      <c r="AM83" s="13" t="s">
        <v>100</v>
      </c>
      <c r="AN83" s="13" t="s">
        <v>101</v>
      </c>
      <c r="AO83" s="13" t="s">
        <v>102</v>
      </c>
      <c r="AP83" s="13">
        <v>188.5</v>
      </c>
      <c r="AQ83" s="13">
        <v>56.01</v>
      </c>
      <c r="AR83" s="13">
        <v>20.2</v>
      </c>
      <c r="AS83" s="16">
        <v>11.31402</v>
      </c>
      <c r="AT83" s="13">
        <v>43.4</v>
      </c>
      <c r="AU83" s="13">
        <v>192</v>
      </c>
      <c r="AV83" s="13">
        <v>591.5</v>
      </c>
      <c r="AW83" s="13">
        <v>68.7</v>
      </c>
      <c r="AX83" s="16">
        <v>406.3605</v>
      </c>
      <c r="AY83" s="31">
        <v>4</v>
      </c>
      <c r="AZ83" s="13">
        <v>0.5</v>
      </c>
      <c r="BA83" s="13">
        <v>2770</v>
      </c>
      <c r="BB83" s="13">
        <v>35.56</v>
      </c>
      <c r="BC83" s="13">
        <v>13.9</v>
      </c>
      <c r="BD83" s="16">
        <v>4.94284</v>
      </c>
      <c r="BE83" s="13">
        <v>42.5</v>
      </c>
      <c r="BF83" s="13">
        <v>98</v>
      </c>
      <c r="BG83" s="31"/>
      <c r="BH83" s="13">
        <v>84.7</v>
      </c>
      <c r="BI83" s="31">
        <v>3597.5</v>
      </c>
      <c r="BJ83" s="31">
        <v>804.04</v>
      </c>
      <c r="BK83" s="13">
        <v>10.86</v>
      </c>
      <c r="BL83" s="13">
        <v>634887</v>
      </c>
      <c r="BM83" s="31">
        <v>97.7</v>
      </c>
      <c r="BN83" s="13" t="s">
        <v>103</v>
      </c>
      <c r="BO83" s="16">
        <v>17.228</v>
      </c>
      <c r="BP83" s="16">
        <v>55.1009874099137</v>
      </c>
      <c r="BQ83" s="16">
        <v>208.477735385278</v>
      </c>
      <c r="BR83" s="102">
        <v>48.9583333333333</v>
      </c>
      <c r="BS83" s="13" t="s">
        <v>102</v>
      </c>
      <c r="BT83" s="13" t="s">
        <v>105</v>
      </c>
      <c r="BU83" s="12">
        <v>45886</v>
      </c>
      <c r="BV83" s="13" t="s">
        <v>105</v>
      </c>
      <c r="BW83" s="31">
        <v>10.86</v>
      </c>
      <c r="BX83" s="13" t="s">
        <v>103</v>
      </c>
      <c r="BY83" s="13" t="s">
        <v>103</v>
      </c>
      <c r="BZ83" s="13" t="s">
        <v>103</v>
      </c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</row>
    <row r="84" spans="1:89">
      <c r="A84" s="12">
        <v>45896</v>
      </c>
      <c r="B84" s="13">
        <v>25108008</v>
      </c>
      <c r="C84" s="13"/>
      <c r="D84" s="13"/>
      <c r="E84" s="13">
        <v>1</v>
      </c>
      <c r="F84" s="13" t="s">
        <v>111</v>
      </c>
      <c r="G84" s="13">
        <v>16</v>
      </c>
      <c r="H84" s="13">
        <v>48</v>
      </c>
      <c r="I84" s="13" t="s">
        <v>124</v>
      </c>
      <c r="J84" s="13" t="s">
        <v>112</v>
      </c>
      <c r="K84" s="13" t="s">
        <v>94</v>
      </c>
      <c r="L84" s="13">
        <v>600</v>
      </c>
      <c r="M84" s="13">
        <v>4</v>
      </c>
      <c r="N84" s="13" t="s">
        <v>103</v>
      </c>
      <c r="O84" s="13">
        <v>62.5</v>
      </c>
      <c r="P84" s="31">
        <v>1.7</v>
      </c>
      <c r="Q84" s="16">
        <v>21.6262975778547</v>
      </c>
      <c r="R84" s="13">
        <v>64.5</v>
      </c>
      <c r="S84" s="13" t="s">
        <v>95</v>
      </c>
      <c r="T84" s="13">
        <v>242</v>
      </c>
      <c r="U84" s="13">
        <v>3984</v>
      </c>
      <c r="V84" s="16">
        <v>3</v>
      </c>
      <c r="W84" s="87">
        <v>11331</v>
      </c>
      <c r="X84" s="13">
        <v>11952</v>
      </c>
      <c r="Y84" s="13">
        <v>621</v>
      </c>
      <c r="Z84" s="13">
        <v>224</v>
      </c>
      <c r="AA84" s="13">
        <v>214.7</v>
      </c>
      <c r="AB84" s="13" t="s">
        <v>96</v>
      </c>
      <c r="AC84" s="13" t="s">
        <v>121</v>
      </c>
      <c r="AD84" s="13" t="s">
        <v>122</v>
      </c>
      <c r="AE84" s="13">
        <v>45</v>
      </c>
      <c r="AF84" s="13">
        <v>55</v>
      </c>
      <c r="AG84" s="13">
        <v>55</v>
      </c>
      <c r="AH84" s="13" t="s">
        <v>99</v>
      </c>
      <c r="AI84" s="13" t="s">
        <v>110</v>
      </c>
      <c r="AJ84" s="13" t="s">
        <v>101</v>
      </c>
      <c r="AK84" s="13" t="s">
        <v>102</v>
      </c>
      <c r="AL84" s="13">
        <v>53.4</v>
      </c>
      <c r="AM84" s="13" t="s">
        <v>123</v>
      </c>
      <c r="AN84" s="13" t="s">
        <v>101</v>
      </c>
      <c r="AO84" s="13" t="s">
        <v>102</v>
      </c>
      <c r="AP84" s="13">
        <v>82.9</v>
      </c>
      <c r="AQ84" s="13">
        <v>72.04</v>
      </c>
      <c r="AR84" s="13">
        <v>20.7</v>
      </c>
      <c r="AS84" s="16">
        <v>14.91228</v>
      </c>
      <c r="AT84" s="13">
        <v>39.7</v>
      </c>
      <c r="AU84" s="13">
        <v>238</v>
      </c>
      <c r="AV84" s="13">
        <v>542.8</v>
      </c>
      <c r="AW84" s="13">
        <v>70.9</v>
      </c>
      <c r="AX84" s="16">
        <v>384.8452</v>
      </c>
      <c r="AY84" s="31">
        <v>0.4</v>
      </c>
      <c r="AZ84" s="13">
        <v>0.2</v>
      </c>
      <c r="BA84" s="13">
        <v>1700</v>
      </c>
      <c r="BB84" s="13">
        <v>50.76</v>
      </c>
      <c r="BC84" s="13">
        <v>15.2</v>
      </c>
      <c r="BD84" s="16">
        <v>7.71552</v>
      </c>
      <c r="BE84" s="13">
        <v>37.5</v>
      </c>
      <c r="BF84" s="13">
        <v>150</v>
      </c>
      <c r="BG84" s="31"/>
      <c r="BH84" s="13">
        <v>121</v>
      </c>
      <c r="BI84" s="31">
        <v>3777.3</v>
      </c>
      <c r="BJ84" s="31">
        <v>810.9</v>
      </c>
      <c r="BK84" s="13">
        <v>12.5</v>
      </c>
      <c r="BL84" s="13">
        <v>612923</v>
      </c>
      <c r="BM84" s="31">
        <v>99.8</v>
      </c>
      <c r="BN84" s="13" t="s">
        <v>103</v>
      </c>
      <c r="BO84" s="16">
        <v>11.331</v>
      </c>
      <c r="BP84" s="16">
        <v>59.1444081948812</v>
      </c>
      <c r="BQ84" s="16">
        <v>227.758075786787</v>
      </c>
      <c r="BR84" s="102">
        <v>36.9747899159664</v>
      </c>
      <c r="BS84" s="13" t="s">
        <v>102</v>
      </c>
      <c r="BT84" s="13" t="s">
        <v>105</v>
      </c>
      <c r="BU84" s="12">
        <v>45897</v>
      </c>
      <c r="BV84" s="13" t="s">
        <v>105</v>
      </c>
      <c r="BW84" s="31">
        <v>10</v>
      </c>
      <c r="BX84" s="13" t="s">
        <v>103</v>
      </c>
      <c r="BY84" s="13" t="s">
        <v>103</v>
      </c>
      <c r="BZ84" s="13" t="s">
        <v>103</v>
      </c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</row>
    <row r="85" spans="1:89">
      <c r="A85" s="12">
        <v>45898</v>
      </c>
      <c r="B85" s="13">
        <v>25108009</v>
      </c>
      <c r="C85" s="13"/>
      <c r="D85" s="13"/>
      <c r="E85" s="13">
        <v>1</v>
      </c>
      <c r="F85" s="13" t="s">
        <v>111</v>
      </c>
      <c r="G85" s="13">
        <v>22</v>
      </c>
      <c r="H85" s="13">
        <v>57</v>
      </c>
      <c r="I85" s="13" t="s">
        <v>124</v>
      </c>
      <c r="J85" s="13" t="s">
        <v>112</v>
      </c>
      <c r="K85" s="13" t="s">
        <v>94</v>
      </c>
      <c r="L85" s="13">
        <v>900</v>
      </c>
      <c r="M85" s="13">
        <v>4</v>
      </c>
      <c r="N85" s="13" t="s">
        <v>103</v>
      </c>
      <c r="O85" s="13">
        <v>83.4</v>
      </c>
      <c r="P85" s="31">
        <v>1.76</v>
      </c>
      <c r="Q85" s="16">
        <v>26.9240702479339</v>
      </c>
      <c r="R85" s="13">
        <v>73.2</v>
      </c>
      <c r="S85" s="13" t="s">
        <v>95</v>
      </c>
      <c r="T85" s="13">
        <v>161</v>
      </c>
      <c r="U85" s="13">
        <v>4870</v>
      </c>
      <c r="V85" s="16">
        <v>2.50020533880903</v>
      </c>
      <c r="W85" s="87">
        <v>11571</v>
      </c>
      <c r="X85" s="13">
        <v>12176</v>
      </c>
      <c r="Y85" s="13">
        <v>605</v>
      </c>
      <c r="Z85" s="13">
        <v>145</v>
      </c>
      <c r="AA85" s="13">
        <v>142.6</v>
      </c>
      <c r="AB85" s="13" t="s">
        <v>96</v>
      </c>
      <c r="AC85" s="13" t="s">
        <v>121</v>
      </c>
      <c r="AD85" s="13" t="s">
        <v>98</v>
      </c>
      <c r="AE85" s="13">
        <v>80</v>
      </c>
      <c r="AF85" s="13">
        <v>80</v>
      </c>
      <c r="AG85" s="13">
        <v>80</v>
      </c>
      <c r="AH85" s="13" t="s">
        <v>158</v>
      </c>
      <c r="AI85" s="13" t="s">
        <v>100</v>
      </c>
      <c r="AJ85" s="13" t="s">
        <v>102</v>
      </c>
      <c r="AK85" s="13" t="s">
        <v>102</v>
      </c>
      <c r="AL85" s="13" t="s">
        <v>102</v>
      </c>
      <c r="AM85" s="13" t="s">
        <v>100</v>
      </c>
      <c r="AN85" s="13" t="s">
        <v>101</v>
      </c>
      <c r="AO85" s="13" t="s">
        <v>102</v>
      </c>
      <c r="AP85" s="13" t="s">
        <v>113</v>
      </c>
      <c r="AQ85" s="13">
        <v>54.52</v>
      </c>
      <c r="AR85" s="13">
        <v>23.1</v>
      </c>
      <c r="AS85" s="16">
        <v>12.59412</v>
      </c>
      <c r="AT85" s="13">
        <v>41.2</v>
      </c>
      <c r="AU85" s="13">
        <v>186</v>
      </c>
      <c r="AV85" s="13">
        <v>840.9</v>
      </c>
      <c r="AW85" s="13">
        <v>58.6</v>
      </c>
      <c r="AX85" s="16">
        <v>492.7674</v>
      </c>
      <c r="AY85" s="31">
        <v>4</v>
      </c>
      <c r="AZ85" s="13">
        <v>0.3</v>
      </c>
      <c r="BA85" s="13">
        <v>1530</v>
      </c>
      <c r="BB85" s="13">
        <v>42.89</v>
      </c>
      <c r="BC85" s="13">
        <v>15.3</v>
      </c>
      <c r="BD85" s="16">
        <v>6.56217</v>
      </c>
      <c r="BE85" s="13">
        <v>40.5</v>
      </c>
      <c r="BF85" s="13">
        <v>143</v>
      </c>
      <c r="BG85" s="31"/>
      <c r="BH85" s="13">
        <v>118.3</v>
      </c>
      <c r="BI85" s="31">
        <v>5208.2</v>
      </c>
      <c r="BJ85" s="31">
        <v>742.6</v>
      </c>
      <c r="BK85" s="13">
        <v>10.1</v>
      </c>
      <c r="BL85" s="13">
        <v>844095</v>
      </c>
      <c r="BM85" s="31">
        <v>98.9</v>
      </c>
      <c r="BN85" s="13" t="s">
        <v>103</v>
      </c>
      <c r="BO85" s="16">
        <v>11.571</v>
      </c>
      <c r="BP85" s="16">
        <v>54.2499455564612</v>
      </c>
      <c r="BQ85" s="16">
        <v>338.145216272683</v>
      </c>
      <c r="BR85" s="102">
        <v>23.1182795698925</v>
      </c>
      <c r="BS85" s="13" t="s">
        <v>102</v>
      </c>
      <c r="BT85" s="13" t="s">
        <v>105</v>
      </c>
      <c r="BU85" s="12">
        <v>45898</v>
      </c>
      <c r="BV85" s="13" t="s">
        <v>105</v>
      </c>
      <c r="BW85" s="31">
        <v>10.1</v>
      </c>
      <c r="BX85" s="13" t="s">
        <v>103</v>
      </c>
      <c r="BY85" s="13" t="s">
        <v>103</v>
      </c>
      <c r="BZ85" s="13" t="s">
        <v>103</v>
      </c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</row>
    <row r="86" spans="1:89">
      <c r="A86" s="12">
        <v>45905</v>
      </c>
      <c r="B86" s="13">
        <v>25109002</v>
      </c>
      <c r="C86" s="13"/>
      <c r="D86" s="13"/>
      <c r="E86" s="13">
        <v>1</v>
      </c>
      <c r="F86" s="13" t="s">
        <v>91</v>
      </c>
      <c r="G86" s="13">
        <v>13</v>
      </c>
      <c r="H86" s="13">
        <v>22</v>
      </c>
      <c r="I86" s="13" t="s">
        <v>124</v>
      </c>
      <c r="J86" s="13" t="s">
        <v>125</v>
      </c>
      <c r="K86" s="13" t="s">
        <v>94</v>
      </c>
      <c r="L86" s="13">
        <v>600</v>
      </c>
      <c r="M86" s="13">
        <v>4</v>
      </c>
      <c r="N86" s="13" t="s">
        <v>103</v>
      </c>
      <c r="O86" s="13">
        <v>78</v>
      </c>
      <c r="P86" s="31">
        <v>1.7</v>
      </c>
      <c r="Q86" s="16">
        <v>26.9896193771626</v>
      </c>
      <c r="R86" s="13">
        <v>73.3</v>
      </c>
      <c r="S86" s="13" t="s">
        <v>95</v>
      </c>
      <c r="T86" s="13">
        <v>299</v>
      </c>
      <c r="U86" s="13">
        <v>4982</v>
      </c>
      <c r="V86" s="16">
        <v>4.5</v>
      </c>
      <c r="W86" s="87">
        <v>21325</v>
      </c>
      <c r="X86" s="13">
        <v>22419</v>
      </c>
      <c r="Y86" s="13">
        <v>1094</v>
      </c>
      <c r="Z86" s="13">
        <v>282</v>
      </c>
      <c r="AA86" s="13">
        <v>269.1</v>
      </c>
      <c r="AB86" s="13" t="s">
        <v>96</v>
      </c>
      <c r="AC86" s="13" t="s">
        <v>121</v>
      </c>
      <c r="AD86" s="13" t="s">
        <v>98</v>
      </c>
      <c r="AE86" s="13">
        <v>78</v>
      </c>
      <c r="AF86" s="13">
        <v>79</v>
      </c>
      <c r="AG86" s="13">
        <v>80</v>
      </c>
      <c r="AH86" s="13" t="s">
        <v>109</v>
      </c>
      <c r="AI86" s="13" t="s">
        <v>100</v>
      </c>
      <c r="AJ86" s="13" t="s">
        <v>101</v>
      </c>
      <c r="AK86" s="11">
        <v>1.62</v>
      </c>
      <c r="AL86" s="118">
        <v>105.9</v>
      </c>
      <c r="AM86" s="13" t="s">
        <v>100</v>
      </c>
      <c r="AN86" s="13" t="s">
        <v>101</v>
      </c>
      <c r="AO86" s="13" t="s">
        <v>102</v>
      </c>
      <c r="AP86" s="13">
        <v>177.4</v>
      </c>
      <c r="AQ86" s="13">
        <v>62.1</v>
      </c>
      <c r="AR86" s="13">
        <v>19.1</v>
      </c>
      <c r="AS86" s="16">
        <v>11.8611</v>
      </c>
      <c r="AT86" s="13">
        <v>38.2</v>
      </c>
      <c r="AU86" s="13">
        <v>204</v>
      </c>
      <c r="AV86" s="13">
        <v>621.6</v>
      </c>
      <c r="AW86" s="13">
        <v>79.6</v>
      </c>
      <c r="AX86" s="16">
        <v>494.7936</v>
      </c>
      <c r="AY86" s="31">
        <v>4</v>
      </c>
      <c r="AZ86" s="13">
        <v>0.3</v>
      </c>
      <c r="BA86" s="13">
        <v>2070</v>
      </c>
      <c r="BB86" s="13">
        <v>49.23</v>
      </c>
      <c r="BC86" s="13">
        <v>13.1</v>
      </c>
      <c r="BD86" s="16">
        <v>6.44913</v>
      </c>
      <c r="BE86" s="13">
        <v>40.4</v>
      </c>
      <c r="BF86" s="13">
        <v>107</v>
      </c>
      <c r="BG86" s="31"/>
      <c r="BH86" s="13">
        <v>65.8</v>
      </c>
      <c r="BI86" s="31">
        <v>2054.9</v>
      </c>
      <c r="BJ86" s="31">
        <v>552.9</v>
      </c>
      <c r="BK86" s="13">
        <v>7.5</v>
      </c>
      <c r="BL86" s="13">
        <v>629174</v>
      </c>
      <c r="BM86" s="31">
        <v>99.2</v>
      </c>
      <c r="BN86" s="13" t="s">
        <v>103</v>
      </c>
      <c r="BO86" s="16">
        <v>21.325</v>
      </c>
      <c r="BP86" s="16">
        <v>39.4032148291209</v>
      </c>
      <c r="BQ86" s="16">
        <v>195.618563892294</v>
      </c>
      <c r="BR86" s="102">
        <v>47.5490196078431</v>
      </c>
      <c r="BS86" s="13" t="s">
        <v>102</v>
      </c>
      <c r="BT86" s="13" t="s">
        <v>105</v>
      </c>
      <c r="BU86" s="12">
        <v>45905</v>
      </c>
      <c r="BV86" s="13" t="s">
        <v>105</v>
      </c>
      <c r="BW86" s="31">
        <v>7.5</v>
      </c>
      <c r="BX86" s="13" t="s">
        <v>103</v>
      </c>
      <c r="BY86" s="13" t="s">
        <v>103</v>
      </c>
      <c r="BZ86" s="13" t="s">
        <v>103</v>
      </c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</row>
    <row r="87" spans="1:89">
      <c r="A87" s="12">
        <v>45911</v>
      </c>
      <c r="B87" s="13">
        <v>25109006</v>
      </c>
      <c r="C87" s="13"/>
      <c r="D87" s="13"/>
      <c r="E87" s="13">
        <v>1</v>
      </c>
      <c r="F87" s="13" t="s">
        <v>91</v>
      </c>
      <c r="G87" s="13">
        <v>4</v>
      </c>
      <c r="H87" s="13">
        <v>12</v>
      </c>
      <c r="I87" s="13" t="s">
        <v>124</v>
      </c>
      <c r="J87" s="13" t="s">
        <v>159</v>
      </c>
      <c r="K87" s="13" t="s">
        <v>160</v>
      </c>
      <c r="L87" s="13">
        <v>300</v>
      </c>
      <c r="M87" s="13">
        <v>4</v>
      </c>
      <c r="N87" s="13" t="s">
        <v>103</v>
      </c>
      <c r="O87" s="13">
        <v>22</v>
      </c>
      <c r="P87" s="31">
        <v>1.28</v>
      </c>
      <c r="Q87" s="16">
        <v>13.427734375</v>
      </c>
      <c r="R87" s="13">
        <v>38</v>
      </c>
      <c r="S87" s="13" t="s">
        <v>140</v>
      </c>
      <c r="T87" s="13">
        <v>217</v>
      </c>
      <c r="U87" s="13">
        <v>1540</v>
      </c>
      <c r="V87" s="16">
        <v>5</v>
      </c>
      <c r="W87" s="87">
        <v>7311</v>
      </c>
      <c r="X87" s="13">
        <v>7700</v>
      </c>
      <c r="Y87" s="13">
        <v>389</v>
      </c>
      <c r="Z87" s="13">
        <v>186</v>
      </c>
      <c r="AA87" s="13">
        <v>184.1</v>
      </c>
      <c r="AB87" s="13" t="s">
        <v>96</v>
      </c>
      <c r="AC87" s="13" t="s">
        <v>121</v>
      </c>
      <c r="AD87" s="13" t="s">
        <v>98</v>
      </c>
      <c r="AE87" s="13">
        <v>40</v>
      </c>
      <c r="AF87" s="13">
        <v>40</v>
      </c>
      <c r="AG87" s="13">
        <v>40</v>
      </c>
      <c r="AH87" s="13" t="s">
        <v>161</v>
      </c>
      <c r="AI87" s="13" t="s">
        <v>100</v>
      </c>
      <c r="AJ87" s="13" t="s">
        <v>101</v>
      </c>
      <c r="AK87" s="118" t="s">
        <v>102</v>
      </c>
      <c r="AL87" s="118" t="s">
        <v>102</v>
      </c>
      <c r="AM87" s="13" t="s">
        <v>100</v>
      </c>
      <c r="AN87" s="13" t="s">
        <v>101</v>
      </c>
      <c r="AO87" s="13" t="s">
        <v>102</v>
      </c>
      <c r="AP87" s="13">
        <v>217.5</v>
      </c>
      <c r="AQ87" s="13">
        <v>56.73</v>
      </c>
      <c r="AR87" s="13">
        <v>24</v>
      </c>
      <c r="AS87" s="16">
        <v>13.6152</v>
      </c>
      <c r="AT87" s="13">
        <v>33.2</v>
      </c>
      <c r="AU87" s="13">
        <v>292</v>
      </c>
      <c r="AV87" s="13">
        <v>267.92</v>
      </c>
      <c r="AW87" s="13">
        <v>81.5</v>
      </c>
      <c r="AX87" s="16">
        <v>218.3548</v>
      </c>
      <c r="AY87" s="31">
        <v>1.5</v>
      </c>
      <c r="AZ87" s="13">
        <v>0.14</v>
      </c>
      <c r="BA87" s="13">
        <v>1181</v>
      </c>
      <c r="BB87" s="13">
        <v>38.3</v>
      </c>
      <c r="BC87" s="13">
        <v>15.5</v>
      </c>
      <c r="BD87" s="16">
        <v>5.9365</v>
      </c>
      <c r="BE87" s="13">
        <v>33.4</v>
      </c>
      <c r="BF87" s="13">
        <v>105</v>
      </c>
      <c r="BG87" s="31"/>
      <c r="BH87" s="13">
        <v>161.6</v>
      </c>
      <c r="BI87" s="31">
        <v>2774.8</v>
      </c>
      <c r="BJ87" s="31">
        <v>510.8</v>
      </c>
      <c r="BK87" s="13">
        <v>13.4</v>
      </c>
      <c r="BL87" s="13">
        <v>305196</v>
      </c>
      <c r="BM87" s="31">
        <v>98.6</v>
      </c>
      <c r="BN87" s="13" t="s">
        <v>103</v>
      </c>
      <c r="BO87" s="16">
        <v>7.311</v>
      </c>
      <c r="BP87" s="16">
        <v>43.2347297101479</v>
      </c>
      <c r="BQ87" s="16">
        <v>219.362271245292</v>
      </c>
      <c r="BR87" s="102">
        <v>64.041095890411</v>
      </c>
      <c r="BS87" s="13" t="s">
        <v>102</v>
      </c>
      <c r="BT87" s="13" t="s">
        <v>105</v>
      </c>
      <c r="BU87" s="12">
        <v>45913</v>
      </c>
      <c r="BV87" s="13" t="s">
        <v>105</v>
      </c>
      <c r="BW87" s="31">
        <v>10</v>
      </c>
      <c r="BX87" s="13" t="s">
        <v>103</v>
      </c>
      <c r="BY87" s="13" t="s">
        <v>103</v>
      </c>
      <c r="BZ87" s="13" t="s">
        <v>103</v>
      </c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</row>
    <row r="88" spans="1:89">
      <c r="A88" s="12">
        <v>45912</v>
      </c>
      <c r="B88" s="13">
        <v>25109007</v>
      </c>
      <c r="C88" s="13"/>
      <c r="D88" s="13"/>
      <c r="E88" s="13">
        <v>1</v>
      </c>
      <c r="F88" s="13" t="s">
        <v>91</v>
      </c>
      <c r="G88" s="13">
        <v>37</v>
      </c>
      <c r="H88" s="13">
        <v>39</v>
      </c>
      <c r="I88" s="13" t="s">
        <v>124</v>
      </c>
      <c r="J88" s="13" t="s">
        <v>125</v>
      </c>
      <c r="K88" s="13" t="s">
        <v>94</v>
      </c>
      <c r="L88" s="13">
        <v>900</v>
      </c>
      <c r="M88" s="13">
        <v>4</v>
      </c>
      <c r="N88" s="13" t="s">
        <v>103</v>
      </c>
      <c r="O88" s="13">
        <v>70.8</v>
      </c>
      <c r="P88" s="31">
        <v>1.67</v>
      </c>
      <c r="Q88" s="16">
        <v>25.3863530424182</v>
      </c>
      <c r="R88" s="13">
        <v>72.8</v>
      </c>
      <c r="S88" s="13" t="s">
        <v>95</v>
      </c>
      <c r="T88" s="13">
        <v>231</v>
      </c>
      <c r="U88" s="13">
        <v>4598</v>
      </c>
      <c r="V88" s="16">
        <v>3.80013049151805</v>
      </c>
      <c r="W88" s="87">
        <v>16615</v>
      </c>
      <c r="X88" s="13">
        <v>17473</v>
      </c>
      <c r="Y88" s="13">
        <v>858</v>
      </c>
      <c r="Z88" s="13">
        <v>217</v>
      </c>
      <c r="AA88" s="13">
        <v>214.8</v>
      </c>
      <c r="AB88" s="13" t="s">
        <v>96</v>
      </c>
      <c r="AC88" s="13" t="s">
        <v>121</v>
      </c>
      <c r="AD88" s="13" t="s">
        <v>98</v>
      </c>
      <c r="AE88" s="13">
        <v>80</v>
      </c>
      <c r="AF88" s="13">
        <v>80</v>
      </c>
      <c r="AG88" s="13">
        <v>80</v>
      </c>
      <c r="AH88" s="13" t="s">
        <v>99</v>
      </c>
      <c r="AI88" s="13" t="s">
        <v>110</v>
      </c>
      <c r="AJ88" s="13" t="s">
        <v>101</v>
      </c>
      <c r="AK88" s="11" t="s">
        <v>102</v>
      </c>
      <c r="AL88" s="118">
        <v>225.8</v>
      </c>
      <c r="AM88" s="13" t="s">
        <v>110</v>
      </c>
      <c r="AN88" s="13" t="s">
        <v>101</v>
      </c>
      <c r="AO88" s="13" t="s">
        <v>102</v>
      </c>
      <c r="AP88" s="13" t="s">
        <v>113</v>
      </c>
      <c r="AQ88" s="13">
        <v>46.23</v>
      </c>
      <c r="AR88" s="13">
        <v>16.1</v>
      </c>
      <c r="AS88" s="16">
        <v>7.44303</v>
      </c>
      <c r="AT88" s="13">
        <v>46.1</v>
      </c>
      <c r="AU88" s="13">
        <v>192</v>
      </c>
      <c r="AV88" s="13">
        <v>372.7</v>
      </c>
      <c r="AW88" s="13">
        <v>47.2</v>
      </c>
      <c r="AX88" s="16">
        <v>175.9144</v>
      </c>
      <c r="AY88" s="31">
        <v>3.7</v>
      </c>
      <c r="AZ88" s="13">
        <v>0.45</v>
      </c>
      <c r="BA88" s="13">
        <v>3103</v>
      </c>
      <c r="BB88" s="13">
        <v>32.99</v>
      </c>
      <c r="BC88" s="13">
        <v>14.6</v>
      </c>
      <c r="BD88" s="16">
        <v>4.81654</v>
      </c>
      <c r="BE88" s="13">
        <v>46.2</v>
      </c>
      <c r="BF88" s="13">
        <v>81</v>
      </c>
      <c r="BG88" s="31"/>
      <c r="BH88" s="13">
        <v>93.5</v>
      </c>
      <c r="BI88" s="31">
        <v>3086.6</v>
      </c>
      <c r="BJ88" s="31">
        <v>662.9</v>
      </c>
      <c r="BK88" s="13">
        <v>9.1</v>
      </c>
      <c r="BL88" s="13">
        <v>380987</v>
      </c>
      <c r="BM88" s="31">
        <v>99.3</v>
      </c>
      <c r="BN88" s="13" t="s">
        <v>103</v>
      </c>
      <c r="BO88" s="16">
        <v>16.615</v>
      </c>
      <c r="BP88" s="16">
        <v>42.6713185205688</v>
      </c>
      <c r="BQ88" s="16">
        <v>142.249672862541</v>
      </c>
      <c r="BR88" s="102">
        <v>57.8125</v>
      </c>
      <c r="BS88" s="13" t="s">
        <v>102</v>
      </c>
      <c r="BT88" s="13" t="s">
        <v>105</v>
      </c>
      <c r="BU88" s="12">
        <v>45914</v>
      </c>
      <c r="BV88" s="13" t="s">
        <v>105</v>
      </c>
      <c r="BW88" s="31">
        <v>9.1</v>
      </c>
      <c r="BX88" s="13" t="s">
        <v>103</v>
      </c>
      <c r="BY88" s="13" t="s">
        <v>103</v>
      </c>
      <c r="BZ88" s="13" t="s">
        <v>103</v>
      </c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</row>
    <row r="89" spans="1:89">
      <c r="A89" s="12">
        <v>45918</v>
      </c>
      <c r="B89" s="13">
        <v>25109013</v>
      </c>
      <c r="C89" s="13"/>
      <c r="D89" s="13"/>
      <c r="E89" s="13">
        <v>1</v>
      </c>
      <c r="F89" s="13" t="s">
        <v>91</v>
      </c>
      <c r="G89" s="13">
        <v>8</v>
      </c>
      <c r="H89" s="13">
        <v>12</v>
      </c>
      <c r="I89" s="13" t="s">
        <v>124</v>
      </c>
      <c r="J89" s="13" t="s">
        <v>159</v>
      </c>
      <c r="K89" s="13" t="s">
        <v>116</v>
      </c>
      <c r="L89" s="13">
        <v>300</v>
      </c>
      <c r="M89" s="13">
        <v>4</v>
      </c>
      <c r="N89" s="13" t="s">
        <v>103</v>
      </c>
      <c r="O89" s="13">
        <v>26</v>
      </c>
      <c r="P89" s="31">
        <v>1.16</v>
      </c>
      <c r="Q89" s="16">
        <v>19.3222354340071</v>
      </c>
      <c r="R89" s="13">
        <v>33</v>
      </c>
      <c r="S89" s="13" t="s">
        <v>140</v>
      </c>
      <c r="T89" s="13">
        <v>191</v>
      </c>
      <c r="U89" s="13">
        <v>2014</v>
      </c>
      <c r="V89" s="16">
        <v>4</v>
      </c>
      <c r="W89" s="87">
        <v>7642</v>
      </c>
      <c r="X89" s="13">
        <v>8056</v>
      </c>
      <c r="Y89" s="13">
        <v>414</v>
      </c>
      <c r="Z89" s="13">
        <v>174</v>
      </c>
      <c r="AA89" s="13">
        <v>172.3</v>
      </c>
      <c r="AB89" s="13" t="s">
        <v>96</v>
      </c>
      <c r="AC89" s="13" t="s">
        <v>121</v>
      </c>
      <c r="AD89" s="13" t="s">
        <v>98</v>
      </c>
      <c r="AE89" s="13">
        <v>40</v>
      </c>
      <c r="AF89" s="13">
        <v>45</v>
      </c>
      <c r="AG89" s="13">
        <v>50</v>
      </c>
      <c r="AH89" s="13" t="s">
        <v>162</v>
      </c>
      <c r="AI89" s="13" t="s">
        <v>100</v>
      </c>
      <c r="AJ89" s="13" t="s">
        <v>101</v>
      </c>
      <c r="AK89" s="118" t="s">
        <v>102</v>
      </c>
      <c r="AL89" s="118">
        <v>121</v>
      </c>
      <c r="AM89" s="13" t="s">
        <v>100</v>
      </c>
      <c r="AN89" s="13" t="s">
        <v>101</v>
      </c>
      <c r="AO89" s="13" t="s">
        <v>102</v>
      </c>
      <c r="AP89" s="13">
        <v>193.6</v>
      </c>
      <c r="AQ89" s="13">
        <v>58.86</v>
      </c>
      <c r="AR89" s="13">
        <v>19.2</v>
      </c>
      <c r="AS89" s="16">
        <v>11.30112</v>
      </c>
      <c r="AT89" s="13">
        <v>33.7</v>
      </c>
      <c r="AU89" s="13">
        <v>296</v>
      </c>
      <c r="AV89" s="13">
        <v>340.92</v>
      </c>
      <c r="AW89" s="13">
        <v>80</v>
      </c>
      <c r="AX89" s="16">
        <v>272.736</v>
      </c>
      <c r="AY89" s="31">
        <v>3.1</v>
      </c>
      <c r="AZ89" s="13">
        <v>0.2</v>
      </c>
      <c r="BA89" s="13">
        <v>1852</v>
      </c>
      <c r="BB89" s="13">
        <v>47.52</v>
      </c>
      <c r="BC89" s="13">
        <v>18.8</v>
      </c>
      <c r="BD89" s="16">
        <v>8.93376</v>
      </c>
      <c r="BE89" s="13">
        <v>35.1</v>
      </c>
      <c r="BF89" s="13">
        <v>158</v>
      </c>
      <c r="BG89" s="31"/>
      <c r="BH89" s="13">
        <v>128.1</v>
      </c>
      <c r="BI89" s="31">
        <v>2748.9</v>
      </c>
      <c r="BJ89" s="31">
        <v>473.6</v>
      </c>
      <c r="BK89" s="13">
        <v>14.3</v>
      </c>
      <c r="BL89" s="13">
        <v>420494</v>
      </c>
      <c r="BM89" s="31">
        <v>99.1</v>
      </c>
      <c r="BN89" s="13" t="s">
        <v>103</v>
      </c>
      <c r="BO89" s="16">
        <v>7.642</v>
      </c>
      <c r="BP89" s="16">
        <v>48.3788488816784</v>
      </c>
      <c r="BQ89" s="16">
        <v>315.80132435137</v>
      </c>
      <c r="BR89" s="102">
        <v>46.6216216216216</v>
      </c>
      <c r="BS89" s="13" t="s">
        <v>102</v>
      </c>
      <c r="BT89" s="13" t="s">
        <v>105</v>
      </c>
      <c r="BU89" s="12">
        <v>45920</v>
      </c>
      <c r="BV89" s="13" t="s">
        <v>105</v>
      </c>
      <c r="BW89" s="31">
        <v>14.3</v>
      </c>
      <c r="BX89" s="13" t="s">
        <v>163</v>
      </c>
      <c r="BY89" s="13" t="s">
        <v>103</v>
      </c>
      <c r="BZ89" s="13" t="s">
        <v>103</v>
      </c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</row>
    <row r="90" spans="1:89">
      <c r="A90" s="12">
        <v>45919</v>
      </c>
      <c r="B90" s="13">
        <v>25109014</v>
      </c>
      <c r="C90" s="13"/>
      <c r="D90" s="13"/>
      <c r="E90" s="13">
        <v>1</v>
      </c>
      <c r="F90" s="13" t="s">
        <v>91</v>
      </c>
      <c r="G90" s="13">
        <v>45</v>
      </c>
      <c r="H90" s="13">
        <v>38</v>
      </c>
      <c r="I90" s="13" t="s">
        <v>124</v>
      </c>
      <c r="J90" s="13" t="s">
        <v>164</v>
      </c>
      <c r="K90" s="13" t="s">
        <v>94</v>
      </c>
      <c r="L90" s="13">
        <v>900</v>
      </c>
      <c r="M90" s="13">
        <v>4</v>
      </c>
      <c r="N90" s="13" t="s">
        <v>103</v>
      </c>
      <c r="O90" s="13">
        <v>97.5</v>
      </c>
      <c r="P90" s="31">
        <v>1.65</v>
      </c>
      <c r="Q90" s="16">
        <v>35.8126721763085</v>
      </c>
      <c r="R90" s="13">
        <v>72.5</v>
      </c>
      <c r="S90" s="13" t="s">
        <v>95</v>
      </c>
      <c r="T90" s="13">
        <v>187</v>
      </c>
      <c r="U90" s="13">
        <v>5406</v>
      </c>
      <c r="V90" s="16">
        <v>2.00036995930448</v>
      </c>
      <c r="W90" s="87">
        <v>10042</v>
      </c>
      <c r="X90" s="13">
        <v>10814</v>
      </c>
      <c r="Y90" s="13">
        <v>772</v>
      </c>
      <c r="Z90" s="13">
        <v>168</v>
      </c>
      <c r="AA90" s="13">
        <v>166.3</v>
      </c>
      <c r="AB90" s="13" t="s">
        <v>96</v>
      </c>
      <c r="AC90" s="13" t="s">
        <v>97</v>
      </c>
      <c r="AD90" s="13" t="s">
        <v>98</v>
      </c>
      <c r="AE90" s="13">
        <v>60</v>
      </c>
      <c r="AF90" s="13">
        <v>60</v>
      </c>
      <c r="AG90" s="13">
        <v>60</v>
      </c>
      <c r="AH90" s="13" t="s">
        <v>165</v>
      </c>
      <c r="AI90" s="13" t="s">
        <v>100</v>
      </c>
      <c r="AJ90" s="13" t="s">
        <v>101</v>
      </c>
      <c r="AK90" s="118" t="s">
        <v>102</v>
      </c>
      <c r="AL90" s="118" t="s">
        <v>102</v>
      </c>
      <c r="AM90" s="13" t="s">
        <v>100</v>
      </c>
      <c r="AN90" s="13" t="s">
        <v>101</v>
      </c>
      <c r="AO90" s="13" t="s">
        <v>102</v>
      </c>
      <c r="AP90" s="13" t="s">
        <v>102</v>
      </c>
      <c r="AQ90" s="13">
        <v>55.16</v>
      </c>
      <c r="AR90" s="13">
        <v>16.3</v>
      </c>
      <c r="AS90" s="16">
        <v>8.99108</v>
      </c>
      <c r="AT90" s="13">
        <v>46.8</v>
      </c>
      <c r="AU90" s="13">
        <v>227</v>
      </c>
      <c r="AV90" s="13">
        <v>510.4</v>
      </c>
      <c r="AW90" s="13">
        <v>61.8</v>
      </c>
      <c r="AX90" s="16">
        <v>315.4272</v>
      </c>
      <c r="AY90" s="31">
        <v>4</v>
      </c>
      <c r="AZ90" s="13">
        <v>0.4</v>
      </c>
      <c r="BA90" s="13">
        <v>2540</v>
      </c>
      <c r="BB90" s="13">
        <v>41.56</v>
      </c>
      <c r="BC90" s="13">
        <v>15.2</v>
      </c>
      <c r="BD90" s="16">
        <v>6.31712</v>
      </c>
      <c r="BE90" s="13">
        <v>47.1</v>
      </c>
      <c r="BF90" s="13">
        <v>158</v>
      </c>
      <c r="BG90" s="31"/>
      <c r="BH90" s="13">
        <v>130.4</v>
      </c>
      <c r="BI90" s="31">
        <v>4452.6</v>
      </c>
      <c r="BJ90" s="31">
        <v>740.4</v>
      </c>
      <c r="BK90" s="13">
        <v>10.2</v>
      </c>
      <c r="BL90" s="13">
        <v>502425</v>
      </c>
      <c r="BM90" s="31">
        <v>99.4</v>
      </c>
      <c r="BN90" s="13" t="s">
        <v>103</v>
      </c>
      <c r="BO90" s="16">
        <v>10.042</v>
      </c>
      <c r="BP90" s="16">
        <v>56.5416661066466</v>
      </c>
      <c r="BQ90" s="16">
        <v>349.355079283221</v>
      </c>
      <c r="BR90" s="102">
        <v>30.3964757709251</v>
      </c>
      <c r="BS90" s="13" t="s">
        <v>102</v>
      </c>
      <c r="BT90" s="13" t="s">
        <v>105</v>
      </c>
      <c r="BU90" s="12">
        <v>45921</v>
      </c>
      <c r="BV90" s="13" t="s">
        <v>105</v>
      </c>
      <c r="BW90" s="31">
        <v>10.2</v>
      </c>
      <c r="BX90" s="13" t="s">
        <v>103</v>
      </c>
      <c r="BY90" s="13" t="s">
        <v>103</v>
      </c>
      <c r="BZ90" s="13" t="s">
        <v>103</v>
      </c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</row>
    <row r="91" s="84" customFormat="1" spans="1:89">
      <c r="A91" s="112" t="s">
        <v>180</v>
      </c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3"/>
      <c r="Q91" s="116"/>
      <c r="R91" s="112"/>
      <c r="S91" s="112"/>
      <c r="T91" s="112"/>
      <c r="U91" s="112"/>
      <c r="V91" s="116">
        <f>MEDIAN(V80:V90)</f>
        <v>3</v>
      </c>
      <c r="W91" s="117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6"/>
      <c r="AT91" s="112"/>
      <c r="AU91" s="112"/>
      <c r="AV91" s="112"/>
      <c r="AW91" s="112"/>
      <c r="AX91" s="116"/>
      <c r="AY91" s="113"/>
      <c r="AZ91" s="112"/>
      <c r="BA91" s="112"/>
      <c r="BB91" s="112"/>
      <c r="BC91" s="112"/>
      <c r="BD91" s="116"/>
      <c r="BE91" s="112"/>
      <c r="BF91" s="112"/>
      <c r="BG91" s="113"/>
      <c r="BH91" s="112"/>
      <c r="BI91" s="113"/>
      <c r="BJ91" s="113"/>
      <c r="BK91" s="112">
        <f>MEDIAN(BK80:BK90)</f>
        <v>10.86</v>
      </c>
      <c r="BL91" s="112"/>
      <c r="BM91" s="113"/>
      <c r="BN91" s="112"/>
      <c r="BO91" s="116"/>
      <c r="BP91" s="116"/>
      <c r="BQ91" s="116"/>
      <c r="BR91" s="119"/>
      <c r="BS91" s="112"/>
      <c r="BT91" s="112"/>
      <c r="BU91" s="112"/>
      <c r="BV91" s="112"/>
      <c r="BW91" s="113"/>
      <c r="BX91" s="112"/>
      <c r="BY91" s="112"/>
      <c r="BZ91" s="112"/>
      <c r="CA91" s="112"/>
      <c r="CB91" s="112"/>
      <c r="CC91" s="112"/>
      <c r="CD91" s="112"/>
      <c r="CE91" s="112"/>
      <c r="CF91" s="112"/>
      <c r="CG91" s="112"/>
      <c r="CH91" s="112"/>
      <c r="CI91" s="112"/>
      <c r="CJ91" s="112"/>
      <c r="CK91" s="112"/>
    </row>
    <row r="92" ht="15.75" spans="1:89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31"/>
      <c r="Q92" s="16"/>
      <c r="R92" s="13"/>
      <c r="S92" s="13"/>
      <c r="T92" s="13"/>
      <c r="U92" s="13"/>
      <c r="V92" s="16"/>
      <c r="W92" s="87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6"/>
      <c r="AT92" s="13"/>
      <c r="AU92" s="13"/>
      <c r="AV92" s="13"/>
      <c r="AW92" s="13"/>
      <c r="AX92" s="16"/>
      <c r="AY92" s="31"/>
      <c r="AZ92" s="13"/>
      <c r="BA92" s="13"/>
      <c r="BB92" s="13"/>
      <c r="BC92" s="13"/>
      <c r="BD92" s="16"/>
      <c r="BE92" s="13"/>
      <c r="BF92" s="13"/>
      <c r="BG92" s="31"/>
      <c r="BH92" s="13"/>
      <c r="BI92" s="31"/>
      <c r="BJ92" s="31"/>
      <c r="BK92" s="13"/>
      <c r="BL92" s="13"/>
      <c r="BM92" s="31"/>
      <c r="BN92" s="13"/>
      <c r="BO92" s="16"/>
      <c r="BP92" s="16"/>
      <c r="BQ92" s="16"/>
      <c r="BR92" s="102"/>
      <c r="BS92" s="13"/>
      <c r="BT92" s="13"/>
      <c r="BU92" s="13"/>
      <c r="BV92" s="13"/>
      <c r="BW92" s="31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</row>
    <row r="93" ht="51.75" spans="1:78">
      <c r="A93" s="8" t="s">
        <v>0</v>
      </c>
      <c r="B93" s="9" t="s">
        <v>1</v>
      </c>
      <c r="C93" s="9" t="s">
        <v>2</v>
      </c>
      <c r="D93" s="9" t="s">
        <v>3</v>
      </c>
      <c r="E93" s="9" t="s">
        <v>4</v>
      </c>
      <c r="F93" s="9" t="s">
        <v>5</v>
      </c>
      <c r="G93" s="9" t="s">
        <v>6</v>
      </c>
      <c r="H93" s="9" t="s">
        <v>7</v>
      </c>
      <c r="I93" s="9" t="s">
        <v>8</v>
      </c>
      <c r="J93" s="9" t="s">
        <v>9</v>
      </c>
      <c r="K93" s="9" t="s">
        <v>10</v>
      </c>
      <c r="L93" s="9" t="s">
        <v>11</v>
      </c>
      <c r="M93" s="9" t="s">
        <v>12</v>
      </c>
      <c r="N93" s="9" t="s">
        <v>13</v>
      </c>
      <c r="O93" s="9" t="s">
        <v>14</v>
      </c>
      <c r="P93" s="18" t="s">
        <v>15</v>
      </c>
      <c r="Q93" s="14" t="s">
        <v>16</v>
      </c>
      <c r="R93" s="9" t="s">
        <v>17</v>
      </c>
      <c r="S93" s="9" t="s">
        <v>18</v>
      </c>
      <c r="T93" s="9" t="s">
        <v>19</v>
      </c>
      <c r="U93" s="9" t="s">
        <v>20</v>
      </c>
      <c r="V93" s="14" t="s">
        <v>21</v>
      </c>
      <c r="W93" s="85" t="s">
        <v>22</v>
      </c>
      <c r="X93" s="9" t="s">
        <v>23</v>
      </c>
      <c r="Y93" s="9" t="s">
        <v>24</v>
      </c>
      <c r="Z93" s="9" t="s">
        <v>25</v>
      </c>
      <c r="AA93" s="18" t="s">
        <v>26</v>
      </c>
      <c r="AB93" s="21" t="s">
        <v>27</v>
      </c>
      <c r="AC93" s="22" t="s">
        <v>28</v>
      </c>
      <c r="AD93" s="23" t="s">
        <v>29</v>
      </c>
      <c r="AE93" s="24" t="s">
        <v>30</v>
      </c>
      <c r="AF93" s="24" t="s">
        <v>31</v>
      </c>
      <c r="AG93" s="24" t="s">
        <v>32</v>
      </c>
      <c r="AH93" s="24" t="s">
        <v>33</v>
      </c>
      <c r="AI93" s="33" t="s">
        <v>34</v>
      </c>
      <c r="AJ93" s="33" t="s">
        <v>35</v>
      </c>
      <c r="AK93" s="33" t="s">
        <v>36</v>
      </c>
      <c r="AL93" s="33" t="s">
        <v>37</v>
      </c>
      <c r="AM93" s="89" t="s">
        <v>38</v>
      </c>
      <c r="AN93" s="89" t="s">
        <v>39</v>
      </c>
      <c r="AO93" s="89" t="s">
        <v>40</v>
      </c>
      <c r="AP93" s="89" t="s">
        <v>41</v>
      </c>
      <c r="AQ93" s="25" t="s">
        <v>42</v>
      </c>
      <c r="AR93" s="25" t="s">
        <v>43</v>
      </c>
      <c r="AS93" s="90" t="s">
        <v>44</v>
      </c>
      <c r="AT93" s="25" t="s">
        <v>45</v>
      </c>
      <c r="AU93" s="25" t="s">
        <v>46</v>
      </c>
      <c r="AV93" s="27" t="s">
        <v>47</v>
      </c>
      <c r="AW93" s="27" t="s">
        <v>48</v>
      </c>
      <c r="AX93" s="91" t="s">
        <v>49</v>
      </c>
      <c r="AY93" s="29" t="s">
        <v>51</v>
      </c>
      <c r="AZ93" s="27" t="s">
        <v>52</v>
      </c>
      <c r="BA93" s="27" t="s">
        <v>53</v>
      </c>
      <c r="BB93" s="92" t="s">
        <v>54</v>
      </c>
      <c r="BC93" s="92" t="s">
        <v>55</v>
      </c>
      <c r="BD93" s="91" t="s">
        <v>56</v>
      </c>
      <c r="BE93" s="93" t="s">
        <v>57</v>
      </c>
      <c r="BF93" s="92" t="s">
        <v>58</v>
      </c>
      <c r="BG93" s="94" t="s">
        <v>59</v>
      </c>
      <c r="BH93" s="95" t="s">
        <v>60</v>
      </c>
      <c r="BI93" s="96" t="s">
        <v>61</v>
      </c>
      <c r="BJ93" s="96" t="s">
        <v>62</v>
      </c>
      <c r="BK93" s="96" t="s">
        <v>63</v>
      </c>
      <c r="BL93" s="96" t="s">
        <v>64</v>
      </c>
      <c r="BM93" s="96" t="s">
        <v>65</v>
      </c>
      <c r="BN93" s="98" t="s">
        <v>66</v>
      </c>
      <c r="BO93" s="99" t="s">
        <v>67</v>
      </c>
      <c r="BP93" s="99" t="s">
        <v>68</v>
      </c>
      <c r="BQ93" s="99" t="s">
        <v>69</v>
      </c>
      <c r="BR93" s="100" t="s">
        <v>70</v>
      </c>
      <c r="BS93" s="101" t="s">
        <v>71</v>
      </c>
      <c r="BT93" s="24" t="s">
        <v>72</v>
      </c>
      <c r="BU93" s="24" t="s">
        <v>73</v>
      </c>
      <c r="BV93" s="24" t="s">
        <v>74</v>
      </c>
      <c r="BW93" s="104" t="s">
        <v>75</v>
      </c>
      <c r="BX93" s="105" t="s">
        <v>76</v>
      </c>
      <c r="BY93" s="106" t="s">
        <v>77</v>
      </c>
      <c r="BZ93" s="106" t="s">
        <v>78</v>
      </c>
    </row>
    <row r="94" spans="1:78">
      <c r="A94" s="12">
        <v>45958</v>
      </c>
      <c r="B94" s="13">
        <v>25110013</v>
      </c>
      <c r="C94" s="13"/>
      <c r="D94" s="13"/>
      <c r="E94" s="13">
        <v>1</v>
      </c>
      <c r="F94" s="13" t="s">
        <v>91</v>
      </c>
      <c r="G94" s="13">
        <v>37</v>
      </c>
      <c r="H94" s="13">
        <v>37</v>
      </c>
      <c r="I94" s="13" t="s">
        <v>92</v>
      </c>
      <c r="J94" s="13" t="s">
        <v>93</v>
      </c>
      <c r="K94" s="13" t="s">
        <v>94</v>
      </c>
      <c r="L94" s="13">
        <v>900</v>
      </c>
      <c r="M94" s="13">
        <v>4</v>
      </c>
      <c r="N94" s="114">
        <v>0.24</v>
      </c>
      <c r="O94" s="13">
        <v>76</v>
      </c>
      <c r="P94" s="31">
        <v>1.68</v>
      </c>
      <c r="Q94" s="16">
        <v>26.9274376417234</v>
      </c>
      <c r="R94" s="13">
        <v>76</v>
      </c>
      <c r="S94" s="13" t="s">
        <v>95</v>
      </c>
      <c r="T94" s="13">
        <v>245</v>
      </c>
      <c r="U94" s="13">
        <v>4790</v>
      </c>
      <c r="V94" s="16">
        <v>3.50020876826722</v>
      </c>
      <c r="W94" s="87">
        <v>15946</v>
      </c>
      <c r="X94" s="13">
        <v>16766</v>
      </c>
      <c r="Y94" s="13">
        <v>820</v>
      </c>
      <c r="Z94" s="13">
        <v>226</v>
      </c>
      <c r="AA94" s="13">
        <v>223.7</v>
      </c>
      <c r="AB94" s="13" t="s">
        <v>96</v>
      </c>
      <c r="AC94" s="13" t="s">
        <v>121</v>
      </c>
      <c r="AD94" s="13" t="s">
        <v>122</v>
      </c>
      <c r="AE94" s="13">
        <v>75</v>
      </c>
      <c r="AF94" s="13">
        <v>75</v>
      </c>
      <c r="AG94" s="13">
        <v>70</v>
      </c>
      <c r="AH94" s="13" t="s">
        <v>99</v>
      </c>
      <c r="AI94" s="13" t="s">
        <v>123</v>
      </c>
      <c r="AJ94" s="13" t="s">
        <v>101</v>
      </c>
      <c r="AK94" s="13" t="s">
        <v>102</v>
      </c>
      <c r="AL94" s="13">
        <v>200.8</v>
      </c>
      <c r="AM94" s="13" t="s">
        <v>123</v>
      </c>
      <c r="AN94" s="13" t="s">
        <v>101</v>
      </c>
      <c r="AO94" s="13" t="s">
        <v>102</v>
      </c>
      <c r="AP94" s="13">
        <v>200.8</v>
      </c>
      <c r="AQ94" s="13">
        <v>38.02</v>
      </c>
      <c r="AR94" s="13">
        <v>21</v>
      </c>
      <c r="AS94" s="16">
        <v>7.9842</v>
      </c>
      <c r="AT94" s="13">
        <v>43.9</v>
      </c>
      <c r="AU94" s="13">
        <v>246</v>
      </c>
      <c r="AV94" s="13">
        <v>327.41</v>
      </c>
      <c r="AW94" s="13">
        <v>87.9</v>
      </c>
      <c r="AX94" s="16">
        <v>287.79339</v>
      </c>
      <c r="AY94" s="31">
        <v>3.6</v>
      </c>
      <c r="AZ94" s="13">
        <v>0.63</v>
      </c>
      <c r="BA94" s="13">
        <v>3827</v>
      </c>
      <c r="BB94" s="13">
        <v>24.84</v>
      </c>
      <c r="BC94" s="13">
        <v>15.5</v>
      </c>
      <c r="BD94" s="16">
        <v>3.8502</v>
      </c>
      <c r="BE94" s="13">
        <v>44.7</v>
      </c>
      <c r="BF94" s="13">
        <v>112</v>
      </c>
      <c r="BG94" s="31">
        <v>31.7</v>
      </c>
      <c r="BH94" s="13">
        <v>97.4</v>
      </c>
      <c r="BI94" s="31">
        <v>2788</v>
      </c>
      <c r="BJ94" s="31">
        <v>623.6</v>
      </c>
      <c r="BK94" s="31">
        <v>8.2</v>
      </c>
      <c r="BL94" s="13">
        <v>361261</v>
      </c>
      <c r="BM94" s="31">
        <v>99.5</v>
      </c>
      <c r="BN94" s="13" t="s">
        <v>103</v>
      </c>
      <c r="BO94" s="16">
        <v>15.946</v>
      </c>
      <c r="BP94" s="16">
        <v>40.1509097310198</v>
      </c>
      <c r="BQ94" s="16">
        <v>226.046427584358</v>
      </c>
      <c r="BR94" s="102">
        <v>54.4715447154472</v>
      </c>
      <c r="BS94" s="13" t="s">
        <v>102</v>
      </c>
      <c r="BT94" s="13" t="s">
        <v>105</v>
      </c>
      <c r="BU94" s="12">
        <v>45960</v>
      </c>
      <c r="BV94" s="13" t="s">
        <v>105</v>
      </c>
      <c r="BW94" s="31">
        <v>8.2</v>
      </c>
      <c r="BX94" s="13" t="s">
        <v>103</v>
      </c>
      <c r="BY94" s="13" t="s">
        <v>103</v>
      </c>
      <c r="BZ94" s="13" t="s">
        <v>103</v>
      </c>
    </row>
    <row r="95" spans="1:78">
      <c r="A95" s="12">
        <v>45966</v>
      </c>
      <c r="B95" s="13">
        <v>25111001</v>
      </c>
      <c r="C95" s="13"/>
      <c r="D95" s="13"/>
      <c r="E95" s="13">
        <v>1</v>
      </c>
      <c r="F95" s="13" t="s">
        <v>91</v>
      </c>
      <c r="G95" s="13">
        <v>61</v>
      </c>
      <c r="H95" s="13">
        <v>61</v>
      </c>
      <c r="I95" s="13" t="s">
        <v>92</v>
      </c>
      <c r="J95" s="13" t="s">
        <v>133</v>
      </c>
      <c r="K95" s="13" t="s">
        <v>94</v>
      </c>
      <c r="L95" s="13">
        <v>600</v>
      </c>
      <c r="M95" s="13">
        <v>4</v>
      </c>
      <c r="N95" s="13">
        <v>0.24</v>
      </c>
      <c r="O95" s="13">
        <v>60.5</v>
      </c>
      <c r="P95" s="31">
        <v>1.8</v>
      </c>
      <c r="Q95" s="16">
        <v>18.6728395061728</v>
      </c>
      <c r="R95" s="13">
        <v>60.5</v>
      </c>
      <c r="S95" s="13" t="s">
        <v>95</v>
      </c>
      <c r="T95" s="13">
        <v>301</v>
      </c>
      <c r="U95" s="13">
        <v>4675</v>
      </c>
      <c r="V95" s="16">
        <v>5.00021390374332</v>
      </c>
      <c r="W95" s="87">
        <v>22239</v>
      </c>
      <c r="X95" s="13">
        <v>23376</v>
      </c>
      <c r="Y95" s="13">
        <v>1137</v>
      </c>
      <c r="Z95" s="13">
        <v>283</v>
      </c>
      <c r="AA95" s="13">
        <v>280.2</v>
      </c>
      <c r="AB95" s="13" t="s">
        <v>96</v>
      </c>
      <c r="AC95" s="13" t="s">
        <v>121</v>
      </c>
      <c r="AD95" s="13" t="s">
        <v>98</v>
      </c>
      <c r="AE95" s="13">
        <v>80</v>
      </c>
      <c r="AF95" s="13">
        <v>80</v>
      </c>
      <c r="AG95" s="13">
        <v>80</v>
      </c>
      <c r="AH95" s="13" t="s">
        <v>99</v>
      </c>
      <c r="AI95" s="13" t="s">
        <v>110</v>
      </c>
      <c r="AJ95" s="13" t="s">
        <v>101</v>
      </c>
      <c r="AK95" s="13" t="s">
        <v>102</v>
      </c>
      <c r="AL95" s="13">
        <v>70.7</v>
      </c>
      <c r="AM95" s="13" t="s">
        <v>110</v>
      </c>
      <c r="AN95" s="13" t="s">
        <v>101</v>
      </c>
      <c r="AO95" s="13" t="s">
        <v>102</v>
      </c>
      <c r="AP95" s="13">
        <v>70.7</v>
      </c>
      <c r="AQ95" s="13">
        <v>35.86</v>
      </c>
      <c r="AR95" s="13">
        <v>31.9</v>
      </c>
      <c r="AS95" s="16">
        <v>11.43934</v>
      </c>
      <c r="AT95" s="13">
        <v>33.5</v>
      </c>
      <c r="AU95" s="13">
        <v>142</v>
      </c>
      <c r="AV95" s="13">
        <v>375.54</v>
      </c>
      <c r="AW95" s="13">
        <v>77.3</v>
      </c>
      <c r="AX95" s="16">
        <v>290.29242</v>
      </c>
      <c r="AY95" s="31">
        <v>1.5</v>
      </c>
      <c r="AZ95" s="13">
        <v>0.12</v>
      </c>
      <c r="BA95" s="13">
        <v>1170</v>
      </c>
      <c r="BB95" s="13">
        <v>40.85</v>
      </c>
      <c r="BC95" s="13">
        <v>18.2</v>
      </c>
      <c r="BD95" s="16">
        <v>7.4347</v>
      </c>
      <c r="BE95" s="13">
        <v>37.6</v>
      </c>
      <c r="BF95" s="13">
        <v>65</v>
      </c>
      <c r="BG95" s="31"/>
      <c r="BH95" s="13">
        <v>32</v>
      </c>
      <c r="BI95" s="31">
        <v>867.8</v>
      </c>
      <c r="BJ95" s="31">
        <v>243.1</v>
      </c>
      <c r="BK95" s="31">
        <v>4</v>
      </c>
      <c r="BL95" s="13">
        <v>424757</v>
      </c>
      <c r="BM95" s="31">
        <v>99.4</v>
      </c>
      <c r="BN95" s="13" t="s">
        <v>103</v>
      </c>
      <c r="BO95" s="16">
        <v>22.239</v>
      </c>
      <c r="BP95" s="16">
        <v>34.1601465893251</v>
      </c>
      <c r="BQ95" s="16">
        <v>114.108887888112</v>
      </c>
      <c r="BR95" s="102">
        <v>54.225352112676</v>
      </c>
      <c r="BS95" s="13" t="s">
        <v>102</v>
      </c>
      <c r="BT95" s="13" t="s">
        <v>105</v>
      </c>
      <c r="BU95" s="12">
        <v>45968</v>
      </c>
      <c r="BV95" s="13" t="s">
        <v>105</v>
      </c>
      <c r="BW95" s="31">
        <v>4</v>
      </c>
      <c r="BX95" s="13" t="s">
        <v>103</v>
      </c>
      <c r="BY95" s="13" t="s">
        <v>103</v>
      </c>
      <c r="BZ95" s="13" t="s">
        <v>103</v>
      </c>
    </row>
    <row r="96" spans="1:78">
      <c r="A96" s="12">
        <v>45980</v>
      </c>
      <c r="B96" s="13">
        <v>25111012</v>
      </c>
      <c r="C96" s="13"/>
      <c r="D96" s="13"/>
      <c r="E96" s="13">
        <v>1</v>
      </c>
      <c r="F96" s="13" t="s">
        <v>91</v>
      </c>
      <c r="G96" s="13">
        <v>52</v>
      </c>
      <c r="H96" s="13">
        <v>52</v>
      </c>
      <c r="I96" s="13" t="s">
        <v>92</v>
      </c>
      <c r="J96" s="13" t="s">
        <v>93</v>
      </c>
      <c r="K96" s="13" t="s">
        <v>94</v>
      </c>
      <c r="L96" s="13">
        <v>900</v>
      </c>
      <c r="M96" s="13">
        <v>4</v>
      </c>
      <c r="N96" s="13">
        <v>0.24</v>
      </c>
      <c r="O96" s="13">
        <v>89.5</v>
      </c>
      <c r="P96" s="31">
        <v>1.62</v>
      </c>
      <c r="Q96" s="16">
        <v>34.1030330742265</v>
      </c>
      <c r="R96" s="13">
        <v>89.5</v>
      </c>
      <c r="S96" s="13" t="s">
        <v>95</v>
      </c>
      <c r="T96" s="13">
        <v>304</v>
      </c>
      <c r="U96" s="13">
        <v>5061</v>
      </c>
      <c r="V96" s="16">
        <v>4.5000987947046</v>
      </c>
      <c r="W96" s="87">
        <v>21655</v>
      </c>
      <c r="X96" s="13">
        <v>22775</v>
      </c>
      <c r="Y96" s="13">
        <v>1120</v>
      </c>
      <c r="Z96" s="13">
        <v>287</v>
      </c>
      <c r="AA96" s="13">
        <v>284.1</v>
      </c>
      <c r="AB96" s="13" t="s">
        <v>96</v>
      </c>
      <c r="AC96" s="13" t="s">
        <v>108</v>
      </c>
      <c r="AD96" s="13" t="s">
        <v>98</v>
      </c>
      <c r="AE96" s="13">
        <v>80</v>
      </c>
      <c r="AF96" s="13">
        <v>80</v>
      </c>
      <c r="AG96" s="13">
        <v>80</v>
      </c>
      <c r="AH96" s="13" t="s">
        <v>99</v>
      </c>
      <c r="AI96" s="13" t="s">
        <v>100</v>
      </c>
      <c r="AJ96" s="13" t="s">
        <v>101</v>
      </c>
      <c r="AK96" s="13" t="s">
        <v>102</v>
      </c>
      <c r="AL96" s="13" t="s">
        <v>113</v>
      </c>
      <c r="AM96" s="13" t="s">
        <v>100</v>
      </c>
      <c r="AN96" s="13" t="s">
        <v>101</v>
      </c>
      <c r="AO96" s="13" t="s">
        <v>102</v>
      </c>
      <c r="AP96" s="13" t="s">
        <v>113</v>
      </c>
      <c r="AQ96" s="13">
        <v>59.58</v>
      </c>
      <c r="AR96" s="13">
        <v>18.4</v>
      </c>
      <c r="AS96" s="16">
        <v>10.96272</v>
      </c>
      <c r="AT96" s="13">
        <v>41.9</v>
      </c>
      <c r="AU96" s="13">
        <v>131</v>
      </c>
      <c r="AV96" s="13">
        <v>509</v>
      </c>
      <c r="AW96" s="13">
        <v>86.2</v>
      </c>
      <c r="AX96" s="16">
        <v>438.758</v>
      </c>
      <c r="AY96" s="31">
        <v>3</v>
      </c>
      <c r="AZ96" s="13">
        <v>0.4</v>
      </c>
      <c r="BA96" s="13">
        <v>2040</v>
      </c>
      <c r="BB96" s="13">
        <v>48.6</v>
      </c>
      <c r="BC96" s="13">
        <v>10</v>
      </c>
      <c r="BD96" s="16">
        <v>4.86</v>
      </c>
      <c r="BE96" s="13">
        <v>41.3</v>
      </c>
      <c r="BF96" s="13">
        <v>51</v>
      </c>
      <c r="BG96" s="31"/>
      <c r="BH96" s="13">
        <v>75.5</v>
      </c>
      <c r="BI96" s="31">
        <v>2837.5</v>
      </c>
      <c r="BJ96" s="31">
        <v>806.1</v>
      </c>
      <c r="BK96" s="31">
        <v>9</v>
      </c>
      <c r="BL96" s="13">
        <v>508459</v>
      </c>
      <c r="BM96" s="31">
        <v>98.7</v>
      </c>
      <c r="BN96" s="13" t="s">
        <v>103</v>
      </c>
      <c r="BO96" s="16">
        <v>21.655</v>
      </c>
      <c r="BP96" s="16">
        <v>49.3041846781481</v>
      </c>
      <c r="BQ96" s="16">
        <v>184.819817985972</v>
      </c>
      <c r="BR96" s="102">
        <v>61.0687022900763</v>
      </c>
      <c r="BS96" s="13" t="s">
        <v>102</v>
      </c>
      <c r="BT96" s="13" t="s">
        <v>105</v>
      </c>
      <c r="BU96" s="12">
        <v>45981</v>
      </c>
      <c r="BV96" s="13" t="s">
        <v>105</v>
      </c>
      <c r="BW96" s="31">
        <v>9</v>
      </c>
      <c r="BX96" s="13" t="s">
        <v>103</v>
      </c>
      <c r="BY96" s="13" t="s">
        <v>103</v>
      </c>
      <c r="BZ96" s="13" t="s">
        <v>103</v>
      </c>
    </row>
    <row r="97" spans="1:78">
      <c r="A97" s="12">
        <v>45986</v>
      </c>
      <c r="B97" s="13">
        <v>25111013</v>
      </c>
      <c r="C97" s="13"/>
      <c r="D97" s="13"/>
      <c r="E97" s="13">
        <v>1</v>
      </c>
      <c r="F97" s="13" t="s">
        <v>91</v>
      </c>
      <c r="G97" s="13">
        <v>23</v>
      </c>
      <c r="H97" s="13">
        <v>23</v>
      </c>
      <c r="I97" s="13" t="s">
        <v>92</v>
      </c>
      <c r="J97" s="13" t="s">
        <v>115</v>
      </c>
      <c r="K97" s="13" t="s">
        <v>94</v>
      </c>
      <c r="L97" s="13">
        <v>485</v>
      </c>
      <c r="M97" s="13">
        <v>6</v>
      </c>
      <c r="N97" s="114">
        <v>0.24</v>
      </c>
      <c r="O97" s="13">
        <v>48.5</v>
      </c>
      <c r="P97" s="31">
        <v>1.72</v>
      </c>
      <c r="Q97" s="16">
        <v>16.3939967550027</v>
      </c>
      <c r="R97" s="13">
        <v>48.5</v>
      </c>
      <c r="S97" s="13" t="s">
        <v>95</v>
      </c>
      <c r="T97" s="13">
        <v>170</v>
      </c>
      <c r="U97" s="13">
        <v>4048</v>
      </c>
      <c r="V97" s="16">
        <v>3.00024703557312</v>
      </c>
      <c r="W97" s="87">
        <v>11538</v>
      </c>
      <c r="X97" s="13">
        <v>12145</v>
      </c>
      <c r="Y97" s="13">
        <v>607</v>
      </c>
      <c r="Z97" s="13">
        <v>140</v>
      </c>
      <c r="AA97" s="13">
        <v>138.6</v>
      </c>
      <c r="AB97" s="13" t="s">
        <v>96</v>
      </c>
      <c r="AC97" s="13" t="s">
        <v>108</v>
      </c>
      <c r="AD97" s="13" t="s">
        <v>98</v>
      </c>
      <c r="AE97" s="13">
        <v>75</v>
      </c>
      <c r="AF97" s="13">
        <v>80</v>
      </c>
      <c r="AG97" s="13">
        <v>80</v>
      </c>
      <c r="AH97" s="13" t="s">
        <v>109</v>
      </c>
      <c r="AI97" s="13" t="s">
        <v>100</v>
      </c>
      <c r="AJ97" s="13" t="s">
        <v>101</v>
      </c>
      <c r="AK97" s="13" t="s">
        <v>102</v>
      </c>
      <c r="AL97" s="13" t="s">
        <v>102</v>
      </c>
      <c r="AM97" s="13" t="s">
        <v>100</v>
      </c>
      <c r="AN97" s="13" t="s">
        <v>101</v>
      </c>
      <c r="AO97" s="13" t="s">
        <v>102</v>
      </c>
      <c r="AP97" s="13" t="s">
        <v>102</v>
      </c>
      <c r="AQ97" s="13">
        <v>1.79</v>
      </c>
      <c r="AR97" s="13">
        <v>47.5</v>
      </c>
      <c r="AS97" s="16">
        <v>0.85025</v>
      </c>
      <c r="AT97" s="13">
        <v>41.1</v>
      </c>
      <c r="AU97" s="13">
        <v>16</v>
      </c>
      <c r="AV97" s="13">
        <v>95.45</v>
      </c>
      <c r="AW97" s="13">
        <v>50.7</v>
      </c>
      <c r="AX97" s="16">
        <v>48.39315</v>
      </c>
      <c r="AY97" s="31">
        <v>1.5</v>
      </c>
      <c r="AZ97" s="13">
        <v>0.18</v>
      </c>
      <c r="BA97" s="13">
        <v>173</v>
      </c>
      <c r="BB97" s="13">
        <v>1.42</v>
      </c>
      <c r="BC97" s="13">
        <v>38.8</v>
      </c>
      <c r="BD97" s="16">
        <v>0.55096</v>
      </c>
      <c r="BE97" s="13">
        <v>37.8</v>
      </c>
      <c r="BF97" s="13">
        <v>11</v>
      </c>
      <c r="BG97" s="31"/>
      <c r="BH97" s="13">
        <v>15.23</v>
      </c>
      <c r="BI97" s="31">
        <v>984.7</v>
      </c>
      <c r="BJ97" s="31">
        <v>136.4</v>
      </c>
      <c r="BK97" s="31">
        <v>2.81</v>
      </c>
      <c r="BL97" s="13">
        <v>101162</v>
      </c>
      <c r="BM97" s="31">
        <v>99.5</v>
      </c>
      <c r="BN97" s="13" t="s">
        <v>103</v>
      </c>
      <c r="BO97" s="16">
        <v>11.538</v>
      </c>
      <c r="BP97" s="16">
        <v>77.6218398265368</v>
      </c>
      <c r="BQ97" s="16">
        <v>493.295003778981</v>
      </c>
      <c r="BR97" s="102">
        <v>31.25</v>
      </c>
      <c r="BS97" s="13" t="s">
        <v>102</v>
      </c>
      <c r="BT97" s="13" t="s">
        <v>105</v>
      </c>
      <c r="BU97" s="12">
        <v>45990</v>
      </c>
      <c r="BV97" s="13" t="s">
        <v>105</v>
      </c>
      <c r="BW97" s="31">
        <v>2.81</v>
      </c>
      <c r="BX97" s="13" t="s">
        <v>103</v>
      </c>
      <c r="BY97" s="13" t="s">
        <v>103</v>
      </c>
      <c r="BZ97" s="13" t="s">
        <v>103</v>
      </c>
    </row>
    <row r="98" spans="1:78">
      <c r="A98" s="12">
        <v>46007</v>
      </c>
      <c r="B98" s="13">
        <v>25112004</v>
      </c>
      <c r="C98" s="13"/>
      <c r="D98" s="13"/>
      <c r="E98" s="13">
        <v>1</v>
      </c>
      <c r="F98" s="13" t="s">
        <v>111</v>
      </c>
      <c r="G98" s="13">
        <v>15</v>
      </c>
      <c r="H98" s="13">
        <v>15</v>
      </c>
      <c r="I98" s="13" t="s">
        <v>92</v>
      </c>
      <c r="J98" s="13" t="s">
        <v>107</v>
      </c>
      <c r="K98" s="13" t="s">
        <v>94</v>
      </c>
      <c r="L98" s="114">
        <v>300</v>
      </c>
      <c r="M98" s="114">
        <v>4</v>
      </c>
      <c r="N98" s="114">
        <v>0.24</v>
      </c>
      <c r="O98" s="13">
        <v>35.6</v>
      </c>
      <c r="P98" s="31">
        <v>1.52</v>
      </c>
      <c r="Q98" s="16">
        <v>15.4085872576177</v>
      </c>
      <c r="R98" s="13">
        <v>35.6</v>
      </c>
      <c r="S98" s="13" t="s">
        <v>95</v>
      </c>
      <c r="T98" s="13">
        <v>230</v>
      </c>
      <c r="U98" s="13">
        <v>2625</v>
      </c>
      <c r="V98" s="16">
        <v>5</v>
      </c>
      <c r="W98" s="87">
        <v>12476</v>
      </c>
      <c r="X98" s="13">
        <v>13125</v>
      </c>
      <c r="Y98" s="13">
        <v>649</v>
      </c>
      <c r="Z98" s="13">
        <v>196</v>
      </c>
      <c r="AA98" s="13">
        <v>194</v>
      </c>
      <c r="AB98" s="13" t="s">
        <v>96</v>
      </c>
      <c r="AC98" s="13" t="s">
        <v>108</v>
      </c>
      <c r="AD98" s="13" t="s">
        <v>98</v>
      </c>
      <c r="AE98" s="13">
        <v>44.3</v>
      </c>
      <c r="AF98" s="13">
        <v>60</v>
      </c>
      <c r="AG98" s="13">
        <v>65</v>
      </c>
      <c r="AH98" s="13" t="s">
        <v>99</v>
      </c>
      <c r="AI98" s="13" t="s">
        <v>100</v>
      </c>
      <c r="AJ98" s="13" t="s">
        <v>101</v>
      </c>
      <c r="AK98" s="13" t="s">
        <v>102</v>
      </c>
      <c r="AL98" s="13" t="s">
        <v>113</v>
      </c>
      <c r="AM98" s="13" t="s">
        <v>100</v>
      </c>
      <c r="AN98" s="13" t="s">
        <v>101</v>
      </c>
      <c r="AO98" s="13" t="s">
        <v>102</v>
      </c>
      <c r="AP98" s="13" t="s">
        <v>113</v>
      </c>
      <c r="AQ98" s="13">
        <v>11.32</v>
      </c>
      <c r="AR98" s="13">
        <v>28.3</v>
      </c>
      <c r="AS98" s="16">
        <v>3.20356</v>
      </c>
      <c r="AT98" s="13">
        <v>35.9</v>
      </c>
      <c r="AU98" s="13">
        <v>200</v>
      </c>
      <c r="AV98" s="13">
        <v>240.43</v>
      </c>
      <c r="AW98" s="13">
        <v>54.3</v>
      </c>
      <c r="AX98" s="16">
        <v>130.55349</v>
      </c>
      <c r="AY98" s="31">
        <v>1.4</v>
      </c>
      <c r="AZ98" s="13">
        <v>0.12</v>
      </c>
      <c r="BA98" s="13">
        <v>1170</v>
      </c>
      <c r="BB98" s="13">
        <v>7.58</v>
      </c>
      <c r="BC98" s="13">
        <v>37.7</v>
      </c>
      <c r="BD98" s="16">
        <v>2.85766</v>
      </c>
      <c r="BE98" s="13">
        <v>33.8</v>
      </c>
      <c r="BF98" s="13">
        <v>136</v>
      </c>
      <c r="BG98" s="31"/>
      <c r="BH98" s="13">
        <v>9</v>
      </c>
      <c r="BI98" s="31">
        <v>232.8</v>
      </c>
      <c r="BJ98" s="31">
        <v>45.1</v>
      </c>
      <c r="BK98" s="31">
        <v>1.2</v>
      </c>
      <c r="BL98" s="13">
        <v>274455</v>
      </c>
      <c r="BM98" s="31">
        <v>99.3</v>
      </c>
      <c r="BN98" s="13" t="s">
        <v>103</v>
      </c>
      <c r="BO98" s="16">
        <v>12.476</v>
      </c>
      <c r="BP98" s="16">
        <v>40.1660076235261</v>
      </c>
      <c r="BQ98" s="16">
        <v>326.648191134878</v>
      </c>
      <c r="BR98" s="102">
        <v>32</v>
      </c>
      <c r="BS98" s="13" t="s">
        <v>102</v>
      </c>
      <c r="BT98" s="13" t="s">
        <v>105</v>
      </c>
      <c r="BU98" s="12">
        <v>46010</v>
      </c>
      <c r="BV98" s="13" t="s">
        <v>105</v>
      </c>
      <c r="BW98" s="31">
        <v>1.2</v>
      </c>
      <c r="BX98" s="13" t="s">
        <v>103</v>
      </c>
      <c r="BY98" s="13" t="s">
        <v>103</v>
      </c>
      <c r="BZ98" s="13" t="s">
        <v>103</v>
      </c>
    </row>
    <row r="99" spans="1:78">
      <c r="A99" s="12">
        <v>46008</v>
      </c>
      <c r="B99" s="13">
        <v>25112005</v>
      </c>
      <c r="C99" s="13"/>
      <c r="D99" s="13"/>
      <c r="E99" s="13">
        <v>2</v>
      </c>
      <c r="F99" s="13" t="s">
        <v>111</v>
      </c>
      <c r="G99" s="13">
        <v>15</v>
      </c>
      <c r="H99" s="13">
        <v>15</v>
      </c>
      <c r="I99" s="13" t="s">
        <v>92</v>
      </c>
      <c r="J99" s="13" t="s">
        <v>107</v>
      </c>
      <c r="K99" s="13" t="s">
        <v>94</v>
      </c>
      <c r="L99" s="114">
        <v>300</v>
      </c>
      <c r="M99" s="114">
        <v>1</v>
      </c>
      <c r="N99" s="114">
        <v>0.24</v>
      </c>
      <c r="O99" s="13">
        <v>35.6</v>
      </c>
      <c r="P99" s="31">
        <v>1.52</v>
      </c>
      <c r="Q99" s="16">
        <v>15.4085872576177</v>
      </c>
      <c r="R99" s="13">
        <v>35.6</v>
      </c>
      <c r="S99" s="13" t="s">
        <v>95</v>
      </c>
      <c r="T99" s="13">
        <v>224</v>
      </c>
      <c r="U99" s="13">
        <v>2625</v>
      </c>
      <c r="V99" s="16">
        <v>5</v>
      </c>
      <c r="W99" s="87">
        <v>12478</v>
      </c>
      <c r="X99" s="13">
        <v>13125</v>
      </c>
      <c r="Y99" s="13">
        <v>647</v>
      </c>
      <c r="Z99" s="13">
        <v>224</v>
      </c>
      <c r="AA99" s="13">
        <v>221.8</v>
      </c>
      <c r="AB99" s="13" t="s">
        <v>96</v>
      </c>
      <c r="AC99" s="13" t="s">
        <v>108</v>
      </c>
      <c r="AD99" s="13" t="s">
        <v>98</v>
      </c>
      <c r="AE99" s="13">
        <v>60</v>
      </c>
      <c r="AF99" s="13">
        <v>60</v>
      </c>
      <c r="AG99" s="13">
        <v>60</v>
      </c>
      <c r="AH99" s="13" t="s">
        <v>99</v>
      </c>
      <c r="AI99" s="13" t="s">
        <v>100</v>
      </c>
      <c r="AJ99" s="13" t="s">
        <v>101</v>
      </c>
      <c r="AK99" s="13" t="s">
        <v>102</v>
      </c>
      <c r="AL99" s="13" t="s">
        <v>113</v>
      </c>
      <c r="AM99" s="13" t="s">
        <v>100</v>
      </c>
      <c r="AN99" s="13" t="s">
        <v>101</v>
      </c>
      <c r="AO99" s="13" t="s">
        <v>102</v>
      </c>
      <c r="AP99" s="13" t="s">
        <v>113</v>
      </c>
      <c r="AQ99" s="13">
        <v>48.77</v>
      </c>
      <c r="AR99" s="13">
        <v>12.5</v>
      </c>
      <c r="AS99" s="16">
        <v>6.09625</v>
      </c>
      <c r="AT99" s="13">
        <v>35.2</v>
      </c>
      <c r="AU99" s="13">
        <v>136</v>
      </c>
      <c r="AV99" s="13">
        <v>276.45</v>
      </c>
      <c r="AW99" s="13">
        <v>71.9</v>
      </c>
      <c r="AX99" s="16">
        <v>198.76755</v>
      </c>
      <c r="AY99" s="31">
        <v>1.9</v>
      </c>
      <c r="AZ99" s="13">
        <v>0.12</v>
      </c>
      <c r="BA99" s="13">
        <v>709</v>
      </c>
      <c r="BB99" s="13">
        <v>44.53</v>
      </c>
      <c r="BC99" s="13">
        <v>9</v>
      </c>
      <c r="BD99" s="16">
        <v>4.0077</v>
      </c>
      <c r="BE99" s="13">
        <v>33.5</v>
      </c>
      <c r="BF99" s="13">
        <v>102</v>
      </c>
      <c r="BG99" s="31">
        <v>9</v>
      </c>
      <c r="BH99" s="13" t="s">
        <v>103</v>
      </c>
      <c r="BI99" s="31">
        <v>451.7</v>
      </c>
      <c r="BJ99" s="31">
        <v>100.1</v>
      </c>
      <c r="BK99" s="31">
        <v>2.81</v>
      </c>
      <c r="BL99" s="13">
        <v>314346</v>
      </c>
      <c r="BM99" s="31">
        <v>99.4</v>
      </c>
      <c r="BN99" s="13" t="s">
        <v>103</v>
      </c>
      <c r="BO99" s="16">
        <v>12.478</v>
      </c>
      <c r="BP99" s="16" t="e">
        <v>#VALUE!</v>
      </c>
      <c r="BQ99" s="16">
        <v>261.298992234124</v>
      </c>
      <c r="BR99" s="102">
        <v>25</v>
      </c>
      <c r="BS99" s="13" t="s">
        <v>102</v>
      </c>
      <c r="BT99" s="13" t="s">
        <v>105</v>
      </c>
      <c r="BU99" s="12">
        <v>46010</v>
      </c>
      <c r="BV99" s="13" t="s">
        <v>105</v>
      </c>
      <c r="BW99" s="31">
        <v>2.8</v>
      </c>
      <c r="BX99" s="13" t="s">
        <v>103</v>
      </c>
      <c r="BY99" s="13" t="s">
        <v>103</v>
      </c>
      <c r="BZ99" s="13" t="s">
        <v>103</v>
      </c>
    </row>
    <row r="100" spans="1:63">
      <c r="A100" s="112" t="s">
        <v>180</v>
      </c>
      <c r="V100" s="88">
        <f>MEDIAN(V94:V99)</f>
        <v>4.7500493973523</v>
      </c>
      <c r="BK100" s="88">
        <f>MEDIAN(BK94:BK99)</f>
        <v>3.405</v>
      </c>
    </row>
    <row r="102" ht="15.75"/>
    <row r="103" ht="51.75" spans="1:78">
      <c r="A103" s="8" t="s">
        <v>0</v>
      </c>
      <c r="B103" s="9" t="s">
        <v>1</v>
      </c>
      <c r="C103" s="9" t="s">
        <v>2</v>
      </c>
      <c r="D103" s="9" t="s">
        <v>3</v>
      </c>
      <c r="E103" s="9" t="s">
        <v>4</v>
      </c>
      <c r="F103" s="9" t="s">
        <v>5</v>
      </c>
      <c r="G103" s="9" t="s">
        <v>6</v>
      </c>
      <c r="H103" s="9" t="s">
        <v>7</v>
      </c>
      <c r="I103" s="9" t="s">
        <v>8</v>
      </c>
      <c r="J103" s="9" t="s">
        <v>9</v>
      </c>
      <c r="K103" s="9" t="s">
        <v>10</v>
      </c>
      <c r="L103" s="9" t="s">
        <v>11</v>
      </c>
      <c r="M103" s="9" t="s">
        <v>12</v>
      </c>
      <c r="N103" s="9" t="s">
        <v>13</v>
      </c>
      <c r="O103" s="9" t="s">
        <v>14</v>
      </c>
      <c r="P103" s="18" t="s">
        <v>15</v>
      </c>
      <c r="Q103" s="14" t="s">
        <v>16</v>
      </c>
      <c r="R103" s="9" t="s">
        <v>17</v>
      </c>
      <c r="S103" s="9" t="s">
        <v>18</v>
      </c>
      <c r="T103" s="9" t="s">
        <v>19</v>
      </c>
      <c r="U103" s="9" t="s">
        <v>20</v>
      </c>
      <c r="V103" s="14" t="s">
        <v>21</v>
      </c>
      <c r="W103" s="85" t="s">
        <v>22</v>
      </c>
      <c r="X103" s="9" t="s">
        <v>23</v>
      </c>
      <c r="Y103" s="9" t="s">
        <v>24</v>
      </c>
      <c r="Z103" s="9" t="s">
        <v>25</v>
      </c>
      <c r="AA103" s="18" t="s">
        <v>26</v>
      </c>
      <c r="AB103" s="21" t="s">
        <v>27</v>
      </c>
      <c r="AC103" s="22" t="s">
        <v>28</v>
      </c>
      <c r="AD103" s="23" t="s">
        <v>29</v>
      </c>
      <c r="AE103" s="24" t="s">
        <v>30</v>
      </c>
      <c r="AF103" s="24" t="s">
        <v>31</v>
      </c>
      <c r="AG103" s="24" t="s">
        <v>32</v>
      </c>
      <c r="AH103" s="24" t="s">
        <v>33</v>
      </c>
      <c r="AI103" s="33" t="s">
        <v>34</v>
      </c>
      <c r="AJ103" s="33" t="s">
        <v>35</v>
      </c>
      <c r="AK103" s="33" t="s">
        <v>36</v>
      </c>
      <c r="AL103" s="33" t="s">
        <v>37</v>
      </c>
      <c r="AM103" s="89" t="s">
        <v>38</v>
      </c>
      <c r="AN103" s="89" t="s">
        <v>39</v>
      </c>
      <c r="AO103" s="89" t="s">
        <v>40</v>
      </c>
      <c r="AP103" s="89" t="s">
        <v>41</v>
      </c>
      <c r="AQ103" s="25" t="s">
        <v>42</v>
      </c>
      <c r="AR103" s="25" t="s">
        <v>43</v>
      </c>
      <c r="AS103" s="90" t="s">
        <v>44</v>
      </c>
      <c r="AT103" s="25" t="s">
        <v>45</v>
      </c>
      <c r="AU103" s="25" t="s">
        <v>46</v>
      </c>
      <c r="AV103" s="27" t="s">
        <v>47</v>
      </c>
      <c r="AW103" s="27" t="s">
        <v>48</v>
      </c>
      <c r="AX103" s="91" t="s">
        <v>49</v>
      </c>
      <c r="AY103" s="29" t="s">
        <v>51</v>
      </c>
      <c r="AZ103" s="27" t="s">
        <v>52</v>
      </c>
      <c r="BA103" s="27" t="s">
        <v>53</v>
      </c>
      <c r="BB103" s="92" t="s">
        <v>54</v>
      </c>
      <c r="BC103" s="92" t="s">
        <v>55</v>
      </c>
      <c r="BD103" s="91" t="s">
        <v>56</v>
      </c>
      <c r="BE103" s="93" t="s">
        <v>57</v>
      </c>
      <c r="BF103" s="92" t="s">
        <v>58</v>
      </c>
      <c r="BG103" s="94" t="s">
        <v>59</v>
      </c>
      <c r="BH103" s="95" t="s">
        <v>60</v>
      </c>
      <c r="BI103" s="96" t="s">
        <v>61</v>
      </c>
      <c r="BJ103" s="96" t="s">
        <v>62</v>
      </c>
      <c r="BK103" s="96" t="s">
        <v>63</v>
      </c>
      <c r="BL103" s="96" t="s">
        <v>64</v>
      </c>
      <c r="BM103" s="96" t="s">
        <v>65</v>
      </c>
      <c r="BN103" s="98" t="s">
        <v>66</v>
      </c>
      <c r="BO103" s="99" t="s">
        <v>67</v>
      </c>
      <c r="BP103" s="99" t="s">
        <v>68</v>
      </c>
      <c r="BQ103" s="99" t="s">
        <v>69</v>
      </c>
      <c r="BR103" s="100" t="s">
        <v>70</v>
      </c>
      <c r="BS103" s="101" t="s">
        <v>71</v>
      </c>
      <c r="BT103" s="24" t="s">
        <v>72</v>
      </c>
      <c r="BU103" s="24" t="s">
        <v>73</v>
      </c>
      <c r="BV103" s="24" t="s">
        <v>74</v>
      </c>
      <c r="BW103" s="104" t="s">
        <v>75</v>
      </c>
      <c r="BX103" s="105" t="s">
        <v>76</v>
      </c>
      <c r="BY103" s="106" t="s">
        <v>77</v>
      </c>
      <c r="BZ103" s="106" t="s">
        <v>78</v>
      </c>
    </row>
    <row r="104" spans="1:78">
      <c r="A104" s="12">
        <v>45958</v>
      </c>
      <c r="B104" s="13">
        <v>25110014</v>
      </c>
      <c r="C104" s="13"/>
      <c r="D104" s="13"/>
      <c r="E104" s="13">
        <v>1</v>
      </c>
      <c r="F104" s="13" t="s">
        <v>111</v>
      </c>
      <c r="G104" s="13">
        <v>31</v>
      </c>
      <c r="H104" s="13">
        <v>19</v>
      </c>
      <c r="I104" s="13" t="s">
        <v>120</v>
      </c>
      <c r="J104" s="13" t="s">
        <v>125</v>
      </c>
      <c r="K104" s="13" t="s">
        <v>94</v>
      </c>
      <c r="L104" s="13">
        <v>600</v>
      </c>
      <c r="M104" s="13">
        <v>4</v>
      </c>
      <c r="N104" s="13" t="s">
        <v>103</v>
      </c>
      <c r="O104" s="13">
        <v>63</v>
      </c>
      <c r="P104" s="31">
        <v>1.63</v>
      </c>
      <c r="Q104" s="16">
        <v>23.7118446309609</v>
      </c>
      <c r="R104" s="13">
        <v>69.8</v>
      </c>
      <c r="S104" s="13" t="s">
        <v>95</v>
      </c>
      <c r="T104" s="13">
        <v>207</v>
      </c>
      <c r="U104" s="13">
        <v>3810</v>
      </c>
      <c r="V104" s="16">
        <v>4.0002624671916</v>
      </c>
      <c r="W104" s="87">
        <v>14483</v>
      </c>
      <c r="X104" s="13">
        <v>15241</v>
      </c>
      <c r="Y104" s="13">
        <v>758</v>
      </c>
      <c r="Z104" s="13">
        <v>181</v>
      </c>
      <c r="AA104" s="13">
        <v>179.2</v>
      </c>
      <c r="AB104" s="13" t="s">
        <v>96</v>
      </c>
      <c r="AC104" s="13" t="s">
        <v>97</v>
      </c>
      <c r="AD104" s="13" t="s">
        <v>98</v>
      </c>
      <c r="AE104" s="13">
        <v>80</v>
      </c>
      <c r="AF104" s="13">
        <v>80</v>
      </c>
      <c r="AG104" s="13">
        <v>80</v>
      </c>
      <c r="AH104" s="13" t="s">
        <v>109</v>
      </c>
      <c r="AI104" s="13" t="s">
        <v>100</v>
      </c>
      <c r="AJ104" s="13" t="s">
        <v>101</v>
      </c>
      <c r="AK104" s="11">
        <v>0.9</v>
      </c>
      <c r="AL104" s="13">
        <v>205</v>
      </c>
      <c r="AM104" s="13" t="s">
        <v>100</v>
      </c>
      <c r="AN104" s="13" t="s">
        <v>101</v>
      </c>
      <c r="AO104" s="13" t="s">
        <v>102</v>
      </c>
      <c r="AP104" s="13" t="s">
        <v>102</v>
      </c>
      <c r="AQ104" s="13">
        <v>45.54</v>
      </c>
      <c r="AR104" s="13">
        <v>17.3</v>
      </c>
      <c r="AS104" s="16">
        <v>7.87842</v>
      </c>
      <c r="AT104" s="13">
        <v>33.9</v>
      </c>
      <c r="AU104" s="13">
        <v>209</v>
      </c>
      <c r="AV104" s="13">
        <v>428.15</v>
      </c>
      <c r="AW104" s="13">
        <v>81.4</v>
      </c>
      <c r="AX104" s="16">
        <v>348.5141</v>
      </c>
      <c r="AY104" s="31">
        <v>1.7</v>
      </c>
      <c r="AZ104" s="13">
        <v>0.15</v>
      </c>
      <c r="BA104" s="13">
        <v>2163</v>
      </c>
      <c r="BB104" s="13">
        <v>34.12</v>
      </c>
      <c r="BC104" s="13">
        <v>13.8</v>
      </c>
      <c r="BD104" s="16">
        <v>4.70856</v>
      </c>
      <c r="BE104" s="13">
        <v>35.9</v>
      </c>
      <c r="BF104" s="13">
        <v>140</v>
      </c>
      <c r="BG104" s="31"/>
      <c r="BH104" s="13">
        <v>70.1</v>
      </c>
      <c r="BI104" s="31">
        <v>2949.2</v>
      </c>
      <c r="BJ104" s="31">
        <v>528.4</v>
      </c>
      <c r="BK104" s="31">
        <v>7.5</v>
      </c>
      <c r="BL104" s="13">
        <v>479285</v>
      </c>
      <c r="BM104" s="31">
        <v>99.3</v>
      </c>
      <c r="BN104" s="13" t="s">
        <v>103</v>
      </c>
      <c r="BO104" s="16">
        <v>14.483</v>
      </c>
      <c r="BP104" s="16">
        <v>52.0458685242957</v>
      </c>
      <c r="BQ104" s="16">
        <v>305.437736860877</v>
      </c>
      <c r="BR104" s="102">
        <v>33.0143540669856</v>
      </c>
      <c r="BS104" s="13" t="s">
        <v>102</v>
      </c>
      <c r="BT104" s="13" t="s">
        <v>105</v>
      </c>
      <c r="BU104" s="12">
        <v>45959</v>
      </c>
      <c r="BV104" s="13" t="s">
        <v>105</v>
      </c>
      <c r="BW104" s="31">
        <v>7.5</v>
      </c>
      <c r="BX104" s="13" t="s">
        <v>103</v>
      </c>
      <c r="BY104" s="13" t="s">
        <v>103</v>
      </c>
      <c r="BZ104" s="13" t="s">
        <v>103</v>
      </c>
    </row>
    <row r="105" spans="1:78">
      <c r="A105" s="12">
        <v>45961</v>
      </c>
      <c r="B105" s="13">
        <v>25110015</v>
      </c>
      <c r="C105" s="13"/>
      <c r="D105" s="13"/>
      <c r="E105" s="13">
        <v>1</v>
      </c>
      <c r="F105" s="13" t="s">
        <v>91</v>
      </c>
      <c r="G105" s="13">
        <v>54</v>
      </c>
      <c r="H105" s="13">
        <v>52</v>
      </c>
      <c r="I105" s="13" t="s">
        <v>120</v>
      </c>
      <c r="J105" s="13" t="s">
        <v>159</v>
      </c>
      <c r="K105" s="13" t="s">
        <v>94</v>
      </c>
      <c r="L105" s="13">
        <v>900</v>
      </c>
      <c r="M105" s="13">
        <v>4</v>
      </c>
      <c r="N105" s="13" t="s">
        <v>103</v>
      </c>
      <c r="O105" s="13">
        <v>106</v>
      </c>
      <c r="P105" s="31">
        <v>1.73</v>
      </c>
      <c r="Q105" s="16">
        <v>35.41715393097</v>
      </c>
      <c r="R105" s="13">
        <v>94</v>
      </c>
      <c r="S105" s="13" t="s">
        <v>95</v>
      </c>
      <c r="T105" s="13">
        <v>350</v>
      </c>
      <c r="U105" s="13">
        <v>5916</v>
      </c>
      <c r="V105" s="16">
        <v>4.23191345503719</v>
      </c>
      <c r="W105" s="87">
        <v>23791</v>
      </c>
      <c r="X105" s="13">
        <v>25036</v>
      </c>
      <c r="Y105" s="13">
        <v>1245</v>
      </c>
      <c r="Z105" s="13">
        <v>337</v>
      </c>
      <c r="AA105" s="13">
        <v>333.6</v>
      </c>
      <c r="AB105" s="13" t="s">
        <v>96</v>
      </c>
      <c r="AC105" s="13" t="s">
        <v>121</v>
      </c>
      <c r="AD105" s="13" t="s">
        <v>122</v>
      </c>
      <c r="AE105" s="13">
        <v>65</v>
      </c>
      <c r="AF105" s="13">
        <v>75</v>
      </c>
      <c r="AG105" s="13">
        <v>75</v>
      </c>
      <c r="AH105" s="13" t="s">
        <v>109</v>
      </c>
      <c r="AI105" s="13" t="s">
        <v>100</v>
      </c>
      <c r="AJ105" s="13" t="s">
        <v>101</v>
      </c>
      <c r="AK105" s="13" t="s">
        <v>102</v>
      </c>
      <c r="AL105" s="13" t="s">
        <v>102</v>
      </c>
      <c r="AM105" s="13" t="s">
        <v>100</v>
      </c>
      <c r="AN105" s="13" t="s">
        <v>101</v>
      </c>
      <c r="AO105" s="11">
        <v>2.23</v>
      </c>
      <c r="AP105" s="13" t="s">
        <v>113</v>
      </c>
      <c r="AQ105" s="13">
        <v>57.29</v>
      </c>
      <c r="AR105" s="13">
        <v>25.2</v>
      </c>
      <c r="AS105" s="16">
        <v>14.43708</v>
      </c>
      <c r="AT105" s="13">
        <v>45.1</v>
      </c>
      <c r="AU105" s="13">
        <v>194</v>
      </c>
      <c r="AV105" s="13">
        <v>502.8</v>
      </c>
      <c r="AW105" s="13">
        <v>86.2</v>
      </c>
      <c r="AX105" s="16">
        <v>433.4136</v>
      </c>
      <c r="AY105" s="31">
        <v>3</v>
      </c>
      <c r="AZ105" s="13">
        <v>0.4</v>
      </c>
      <c r="BA105" s="13">
        <v>2450</v>
      </c>
      <c r="BB105" s="13">
        <v>42.86</v>
      </c>
      <c r="BC105" s="13">
        <v>11.5</v>
      </c>
      <c r="BD105" s="16">
        <v>4.9289</v>
      </c>
      <c r="BE105" s="13">
        <v>45.5</v>
      </c>
      <c r="BF105" s="13">
        <v>69</v>
      </c>
      <c r="BG105" s="31"/>
      <c r="BH105" s="13">
        <v>34.5</v>
      </c>
      <c r="BI105" s="31">
        <v>1042.7</v>
      </c>
      <c r="BJ105" s="31">
        <v>347.8</v>
      </c>
      <c r="BK105" s="31">
        <v>3.7</v>
      </c>
      <c r="BL105" s="13">
        <v>502340</v>
      </c>
      <c r="BM105" s="31">
        <v>99.5</v>
      </c>
      <c r="BN105" s="13" t="s">
        <v>103</v>
      </c>
      <c r="BO105" s="16">
        <v>23.791</v>
      </c>
      <c r="BP105" s="16">
        <v>42.3738364099443</v>
      </c>
      <c r="BQ105" s="16">
        <v>126.185796917256</v>
      </c>
      <c r="BR105" s="102">
        <v>64.4329896907216</v>
      </c>
      <c r="BS105" s="13" t="s">
        <v>102</v>
      </c>
      <c r="BT105" s="13" t="s">
        <v>105</v>
      </c>
      <c r="BU105" s="12">
        <v>45961</v>
      </c>
      <c r="BV105" s="13" t="s">
        <v>105</v>
      </c>
      <c r="BW105" s="31">
        <v>3.7</v>
      </c>
      <c r="BX105" s="13" t="s">
        <v>103</v>
      </c>
      <c r="BY105" s="13" t="s">
        <v>103</v>
      </c>
      <c r="BZ105" s="13" t="s">
        <v>103</v>
      </c>
    </row>
    <row r="106" spans="1:63">
      <c r="A106" s="112" t="s">
        <v>180</v>
      </c>
      <c r="V106" s="88">
        <f>MEDIAN(V104:V105)</f>
        <v>4.11608796111439</v>
      </c>
      <c r="BK106" s="88">
        <f>MEDIAN(BK104:BK105)</f>
        <v>5.6</v>
      </c>
    </row>
    <row r="108" ht="15.75"/>
    <row r="109" ht="51.75" spans="1:78">
      <c r="A109" s="8" t="s">
        <v>0</v>
      </c>
      <c r="B109" s="9" t="s">
        <v>1</v>
      </c>
      <c r="C109" s="9" t="s">
        <v>2</v>
      </c>
      <c r="D109" s="9" t="s">
        <v>3</v>
      </c>
      <c r="E109" s="9" t="s">
        <v>4</v>
      </c>
      <c r="F109" s="9" t="s">
        <v>5</v>
      </c>
      <c r="G109" s="9" t="s">
        <v>6</v>
      </c>
      <c r="H109" s="9" t="s">
        <v>7</v>
      </c>
      <c r="I109" s="9" t="s">
        <v>8</v>
      </c>
      <c r="J109" s="9" t="s">
        <v>9</v>
      </c>
      <c r="K109" s="9" t="s">
        <v>10</v>
      </c>
      <c r="L109" s="9" t="s">
        <v>11</v>
      </c>
      <c r="M109" s="9" t="s">
        <v>12</v>
      </c>
      <c r="N109" s="9" t="s">
        <v>13</v>
      </c>
      <c r="O109" s="9" t="s">
        <v>14</v>
      </c>
      <c r="P109" s="18" t="s">
        <v>15</v>
      </c>
      <c r="Q109" s="14" t="s">
        <v>16</v>
      </c>
      <c r="R109" s="9" t="s">
        <v>17</v>
      </c>
      <c r="S109" s="9" t="s">
        <v>18</v>
      </c>
      <c r="T109" s="9" t="s">
        <v>19</v>
      </c>
      <c r="U109" s="9" t="s">
        <v>20</v>
      </c>
      <c r="V109" s="14" t="s">
        <v>21</v>
      </c>
      <c r="W109" s="85" t="s">
        <v>22</v>
      </c>
      <c r="X109" s="9" t="s">
        <v>23</v>
      </c>
      <c r="Y109" s="9" t="s">
        <v>24</v>
      </c>
      <c r="Z109" s="9" t="s">
        <v>25</v>
      </c>
      <c r="AA109" s="18" t="s">
        <v>26</v>
      </c>
      <c r="AB109" s="21" t="s">
        <v>27</v>
      </c>
      <c r="AC109" s="22" t="s">
        <v>28</v>
      </c>
      <c r="AD109" s="23" t="s">
        <v>29</v>
      </c>
      <c r="AE109" s="24" t="s">
        <v>30</v>
      </c>
      <c r="AF109" s="24" t="s">
        <v>31</v>
      </c>
      <c r="AG109" s="24" t="s">
        <v>32</v>
      </c>
      <c r="AH109" s="24" t="s">
        <v>33</v>
      </c>
      <c r="AI109" s="33" t="s">
        <v>34</v>
      </c>
      <c r="AJ109" s="33" t="s">
        <v>35</v>
      </c>
      <c r="AK109" s="33" t="s">
        <v>36</v>
      </c>
      <c r="AL109" s="33" t="s">
        <v>37</v>
      </c>
      <c r="AM109" s="89" t="s">
        <v>38</v>
      </c>
      <c r="AN109" s="89" t="s">
        <v>39</v>
      </c>
      <c r="AO109" s="89" t="s">
        <v>40</v>
      </c>
      <c r="AP109" s="89" t="s">
        <v>41</v>
      </c>
      <c r="AQ109" s="25" t="s">
        <v>42</v>
      </c>
      <c r="AR109" s="25" t="s">
        <v>43</v>
      </c>
      <c r="AS109" s="90" t="s">
        <v>44</v>
      </c>
      <c r="AT109" s="25" t="s">
        <v>45</v>
      </c>
      <c r="AU109" s="25" t="s">
        <v>46</v>
      </c>
      <c r="AV109" s="27" t="s">
        <v>47</v>
      </c>
      <c r="AW109" s="27" t="s">
        <v>48</v>
      </c>
      <c r="AX109" s="91" t="s">
        <v>49</v>
      </c>
      <c r="AY109" s="29" t="s">
        <v>51</v>
      </c>
      <c r="AZ109" s="27" t="s">
        <v>52</v>
      </c>
      <c r="BA109" s="27" t="s">
        <v>53</v>
      </c>
      <c r="BB109" s="92" t="s">
        <v>54</v>
      </c>
      <c r="BC109" s="92" t="s">
        <v>55</v>
      </c>
      <c r="BD109" s="91" t="s">
        <v>56</v>
      </c>
      <c r="BE109" s="93" t="s">
        <v>57</v>
      </c>
      <c r="BF109" s="92" t="s">
        <v>58</v>
      </c>
      <c r="BG109" s="94" t="s">
        <v>59</v>
      </c>
      <c r="BH109" s="95" t="s">
        <v>60</v>
      </c>
      <c r="BI109" s="96" t="s">
        <v>61</v>
      </c>
      <c r="BJ109" s="96" t="s">
        <v>62</v>
      </c>
      <c r="BK109" s="96" t="s">
        <v>63</v>
      </c>
      <c r="BL109" s="96" t="s">
        <v>64</v>
      </c>
      <c r="BM109" s="96" t="s">
        <v>65</v>
      </c>
      <c r="BN109" s="98" t="s">
        <v>66</v>
      </c>
      <c r="BO109" s="99" t="s">
        <v>67</v>
      </c>
      <c r="BP109" s="99" t="s">
        <v>68</v>
      </c>
      <c r="BQ109" s="99" t="s">
        <v>69</v>
      </c>
      <c r="BR109" s="100" t="s">
        <v>70</v>
      </c>
      <c r="BS109" s="101" t="s">
        <v>71</v>
      </c>
      <c r="BT109" s="24" t="s">
        <v>72</v>
      </c>
      <c r="BU109" s="24" t="s">
        <v>73</v>
      </c>
      <c r="BV109" s="24" t="s">
        <v>74</v>
      </c>
      <c r="BW109" s="104" t="s">
        <v>75</v>
      </c>
      <c r="BX109" s="105" t="s">
        <v>76</v>
      </c>
      <c r="BY109" s="106" t="s">
        <v>77</v>
      </c>
      <c r="BZ109" s="106" t="s">
        <v>78</v>
      </c>
    </row>
    <row r="110" spans="1:78">
      <c r="A110" s="12">
        <v>45939</v>
      </c>
      <c r="B110" s="13">
        <v>25110003</v>
      </c>
      <c r="C110" s="13"/>
      <c r="D110" s="13"/>
      <c r="E110" s="13">
        <v>1</v>
      </c>
      <c r="F110" s="13" t="s">
        <v>111</v>
      </c>
      <c r="G110" s="13">
        <v>19</v>
      </c>
      <c r="H110" s="13">
        <v>13</v>
      </c>
      <c r="I110" s="13" t="s">
        <v>124</v>
      </c>
      <c r="J110" s="13" t="s">
        <v>112</v>
      </c>
      <c r="K110" s="13" t="s">
        <v>160</v>
      </c>
      <c r="L110" s="13">
        <v>600</v>
      </c>
      <c r="M110" s="13">
        <v>4</v>
      </c>
      <c r="N110" s="13" t="s">
        <v>103</v>
      </c>
      <c r="O110" s="13">
        <v>82</v>
      </c>
      <c r="P110" s="31">
        <v>1.64</v>
      </c>
      <c r="Q110" s="16">
        <v>30.4878048780488</v>
      </c>
      <c r="R110" s="13">
        <v>71</v>
      </c>
      <c r="S110" s="13" t="s">
        <v>95</v>
      </c>
      <c r="T110" s="13">
        <v>298</v>
      </c>
      <c r="U110" s="13">
        <v>4467</v>
      </c>
      <c r="V110" s="16">
        <v>5.00022386389075</v>
      </c>
      <c r="W110" s="87">
        <v>21240</v>
      </c>
      <c r="X110" s="13">
        <v>22336</v>
      </c>
      <c r="Y110" s="13">
        <v>1096</v>
      </c>
      <c r="Z110" s="13">
        <v>281</v>
      </c>
      <c r="AA110" s="13">
        <v>278.2</v>
      </c>
      <c r="AB110" s="13" t="s">
        <v>96</v>
      </c>
      <c r="AC110" s="13" t="s">
        <v>121</v>
      </c>
      <c r="AD110" s="13" t="s">
        <v>98</v>
      </c>
      <c r="AE110" s="13">
        <v>80</v>
      </c>
      <c r="AF110" s="13">
        <v>80</v>
      </c>
      <c r="AG110" s="13">
        <v>80</v>
      </c>
      <c r="AH110" s="13" t="s">
        <v>109</v>
      </c>
      <c r="AI110" s="13" t="s">
        <v>100</v>
      </c>
      <c r="AJ110" s="13" t="s">
        <v>101</v>
      </c>
      <c r="AK110" s="13" t="s">
        <v>102</v>
      </c>
      <c r="AL110" s="13">
        <v>73.7</v>
      </c>
      <c r="AM110" s="13" t="s">
        <v>100</v>
      </c>
      <c r="AN110" s="13" t="s">
        <v>101</v>
      </c>
      <c r="AO110" s="13" t="s">
        <v>102</v>
      </c>
      <c r="AP110" s="13">
        <v>146.5</v>
      </c>
      <c r="AQ110" s="13">
        <v>70.74</v>
      </c>
      <c r="AR110" s="13">
        <v>14.5</v>
      </c>
      <c r="AS110" s="16">
        <v>10.2573</v>
      </c>
      <c r="AT110" s="13">
        <v>39.8</v>
      </c>
      <c r="AU110" s="13">
        <v>187</v>
      </c>
      <c r="AV110" s="13">
        <v>426.47</v>
      </c>
      <c r="AW110" s="13">
        <v>80.5</v>
      </c>
      <c r="AX110" s="16">
        <v>343.30835</v>
      </c>
      <c r="AY110" s="31">
        <v>3</v>
      </c>
      <c r="AZ110" s="13">
        <v>0.27</v>
      </c>
      <c r="BA110" s="13">
        <v>1738</v>
      </c>
      <c r="BB110" s="13">
        <v>48.71</v>
      </c>
      <c r="BC110" s="13">
        <v>9.6</v>
      </c>
      <c r="BD110" s="16">
        <v>4.67616</v>
      </c>
      <c r="BE110" s="13">
        <v>38.3</v>
      </c>
      <c r="BF110" s="13">
        <v>80</v>
      </c>
      <c r="BG110" s="31"/>
      <c r="BH110" s="13">
        <v>66.1</v>
      </c>
      <c r="BI110" s="31">
        <v>1947.3</v>
      </c>
      <c r="BJ110" s="31">
        <v>541.7</v>
      </c>
      <c r="BK110" s="31">
        <v>7.6</v>
      </c>
      <c r="BL110" s="13">
        <v>504632</v>
      </c>
      <c r="BM110" s="31">
        <v>99.5</v>
      </c>
      <c r="BN110" s="13" t="s">
        <v>103</v>
      </c>
      <c r="BO110" s="16">
        <v>21.24</v>
      </c>
      <c r="BP110" s="16">
        <v>38.5836104059648</v>
      </c>
      <c r="BQ110" s="16">
        <v>157.578439886724</v>
      </c>
      <c r="BR110" s="102">
        <v>57.2192513368984</v>
      </c>
      <c r="BS110" s="13" t="s">
        <v>102</v>
      </c>
      <c r="BT110" s="13" t="s">
        <v>105</v>
      </c>
      <c r="BU110" s="12">
        <v>45940</v>
      </c>
      <c r="BV110" s="13" t="s">
        <v>105</v>
      </c>
      <c r="BW110" s="31">
        <v>7.6</v>
      </c>
      <c r="BX110" s="13" t="s">
        <v>103</v>
      </c>
      <c r="BY110" s="13" t="s">
        <v>103</v>
      </c>
      <c r="BZ110" s="13" t="s">
        <v>103</v>
      </c>
    </row>
    <row r="111" spans="1:78">
      <c r="A111" s="12">
        <v>45953</v>
      </c>
      <c r="B111" s="13">
        <v>25110011</v>
      </c>
      <c r="C111" s="13"/>
      <c r="D111" s="13"/>
      <c r="E111" s="13">
        <v>1</v>
      </c>
      <c r="F111" s="13" t="s">
        <v>91</v>
      </c>
      <c r="G111" s="13">
        <v>42</v>
      </c>
      <c r="H111" s="13">
        <v>9</v>
      </c>
      <c r="I111" s="13" t="s">
        <v>124</v>
      </c>
      <c r="J111" s="13" t="s">
        <v>171</v>
      </c>
      <c r="K111" s="13" t="s">
        <v>160</v>
      </c>
      <c r="L111" s="13">
        <v>600</v>
      </c>
      <c r="M111" s="13">
        <v>4</v>
      </c>
      <c r="N111" s="13" t="s">
        <v>103</v>
      </c>
      <c r="O111" s="13">
        <v>67.5</v>
      </c>
      <c r="P111" s="31">
        <v>1.64</v>
      </c>
      <c r="Q111" s="16">
        <v>25.0966686496133</v>
      </c>
      <c r="R111" s="13">
        <v>24</v>
      </c>
      <c r="S111" s="13" t="s">
        <v>95</v>
      </c>
      <c r="T111" s="13">
        <v>107</v>
      </c>
      <c r="U111" s="13">
        <v>4411</v>
      </c>
      <c r="V111" s="16">
        <v>1.50011335298118</v>
      </c>
      <c r="W111" s="87">
        <v>6263</v>
      </c>
      <c r="X111" s="13">
        <v>6617</v>
      </c>
      <c r="Y111" s="13">
        <v>354</v>
      </c>
      <c r="Z111" s="13">
        <v>95</v>
      </c>
      <c r="AA111" s="13">
        <v>94</v>
      </c>
      <c r="AB111" s="13" t="s">
        <v>96</v>
      </c>
      <c r="AC111" s="13" t="s">
        <v>121</v>
      </c>
      <c r="AD111" s="13" t="s">
        <v>122</v>
      </c>
      <c r="AE111" s="13">
        <v>68</v>
      </c>
      <c r="AF111" s="13">
        <v>73</v>
      </c>
      <c r="AG111" s="13">
        <v>75</v>
      </c>
      <c r="AH111" s="13" t="s">
        <v>109</v>
      </c>
      <c r="AI111" s="13" t="s">
        <v>100</v>
      </c>
      <c r="AJ111" s="13" t="s">
        <v>101</v>
      </c>
      <c r="AK111" s="13" t="s">
        <v>102</v>
      </c>
      <c r="AL111" s="13" t="s">
        <v>113</v>
      </c>
      <c r="AM111" s="13" t="s">
        <v>100</v>
      </c>
      <c r="AN111" s="13" t="s">
        <v>101</v>
      </c>
      <c r="AO111" s="13" t="s">
        <v>102</v>
      </c>
      <c r="AP111" s="13">
        <v>189.7</v>
      </c>
      <c r="AQ111" s="13">
        <v>56.24</v>
      </c>
      <c r="AR111" s="13">
        <v>14.4</v>
      </c>
      <c r="AS111" s="16">
        <v>8.09856</v>
      </c>
      <c r="AT111" s="13">
        <v>36</v>
      </c>
      <c r="AU111" s="13">
        <v>246</v>
      </c>
      <c r="AV111" s="13">
        <v>263.23</v>
      </c>
      <c r="AW111" s="13">
        <v>97.2</v>
      </c>
      <c r="AX111" s="16">
        <v>255.85956</v>
      </c>
      <c r="AY111" s="31">
        <v>2.2</v>
      </c>
      <c r="AZ111" s="13">
        <v>0.24</v>
      </c>
      <c r="BA111" s="13">
        <v>2704</v>
      </c>
      <c r="BB111" s="13">
        <v>48.78</v>
      </c>
      <c r="BC111" s="13">
        <v>12.4</v>
      </c>
      <c r="BD111" s="16">
        <v>6.04872</v>
      </c>
      <c r="BE111" s="13">
        <v>34.9</v>
      </c>
      <c r="BF111" s="13">
        <v>206</v>
      </c>
      <c r="BG111" s="31"/>
      <c r="BH111" s="13">
        <v>98.1</v>
      </c>
      <c r="BI111" s="31">
        <v>4203.9</v>
      </c>
      <c r="BJ111" s="31">
        <v>395.1</v>
      </c>
      <c r="BK111" s="31">
        <v>16.4</v>
      </c>
      <c r="BL111" s="13">
        <v>282725</v>
      </c>
      <c r="BM111" s="31">
        <v>98.9</v>
      </c>
      <c r="BN111" s="13" t="s">
        <v>103</v>
      </c>
      <c r="BO111" s="16">
        <v>6.263</v>
      </c>
      <c r="BP111" s="16">
        <v>64.3066092252885</v>
      </c>
      <c r="BQ111" s="16">
        <v>504.442225320693</v>
      </c>
      <c r="BR111" s="102">
        <v>16.260162601626</v>
      </c>
      <c r="BS111" s="13" t="s">
        <v>102</v>
      </c>
      <c r="BT111" s="13" t="s">
        <v>105</v>
      </c>
      <c r="BU111" s="12">
        <v>45955</v>
      </c>
      <c r="BV111" s="13" t="s">
        <v>105</v>
      </c>
      <c r="BW111" s="31">
        <v>8.2</v>
      </c>
      <c r="BX111" s="13" t="s">
        <v>103</v>
      </c>
      <c r="BY111" s="13" t="s">
        <v>103</v>
      </c>
      <c r="BZ111" s="13" t="s">
        <v>103</v>
      </c>
    </row>
    <row r="112" spans="1:78">
      <c r="A112" s="12">
        <v>45954</v>
      </c>
      <c r="B112" s="13">
        <v>25110012</v>
      </c>
      <c r="C112" s="13"/>
      <c r="D112" s="13"/>
      <c r="E112" s="13">
        <v>1</v>
      </c>
      <c r="F112" s="13" t="s">
        <v>91</v>
      </c>
      <c r="G112" s="13">
        <v>18</v>
      </c>
      <c r="H112" s="13">
        <v>22</v>
      </c>
      <c r="I112" s="13" t="s">
        <v>124</v>
      </c>
      <c r="J112" s="13" t="s">
        <v>125</v>
      </c>
      <c r="K112" s="13" t="s">
        <v>94</v>
      </c>
      <c r="L112" s="13">
        <v>1200</v>
      </c>
      <c r="M112" s="13">
        <v>4</v>
      </c>
      <c r="N112" s="13" t="s">
        <v>103</v>
      </c>
      <c r="O112" s="13">
        <v>140</v>
      </c>
      <c r="P112" s="31">
        <v>1.81</v>
      </c>
      <c r="Q112" s="16">
        <v>42.7337382863771</v>
      </c>
      <c r="R112" s="13">
        <v>112</v>
      </c>
      <c r="S112" s="13" t="s">
        <v>95</v>
      </c>
      <c r="T112" s="13">
        <v>305</v>
      </c>
      <c r="U112" s="13">
        <v>7286</v>
      </c>
      <c r="V112" s="16">
        <v>3.50013724951963</v>
      </c>
      <c r="W112" s="87">
        <v>24242</v>
      </c>
      <c r="X112" s="13">
        <v>25502</v>
      </c>
      <c r="Y112" s="13">
        <v>1260</v>
      </c>
      <c r="Z112" s="13">
        <v>278</v>
      </c>
      <c r="AA112" s="13">
        <v>275</v>
      </c>
      <c r="AB112" s="13" t="s">
        <v>96</v>
      </c>
      <c r="AC112" s="13" t="s">
        <v>121</v>
      </c>
      <c r="AD112" s="13" t="s">
        <v>98</v>
      </c>
      <c r="AE112" s="13">
        <v>92.2</v>
      </c>
      <c r="AF112" s="13">
        <v>90</v>
      </c>
      <c r="AG112" s="13">
        <v>90</v>
      </c>
      <c r="AH112" s="13" t="s">
        <v>109</v>
      </c>
      <c r="AI112" s="13" t="s">
        <v>100</v>
      </c>
      <c r="AJ112" s="13" t="s">
        <v>101</v>
      </c>
      <c r="AK112" s="13" t="s">
        <v>102</v>
      </c>
      <c r="AL112" s="13" t="s">
        <v>113</v>
      </c>
      <c r="AM112" s="13" t="s">
        <v>100</v>
      </c>
      <c r="AN112" s="13" t="s">
        <v>101</v>
      </c>
      <c r="AO112" s="13" t="s">
        <v>102</v>
      </c>
      <c r="AP112" s="13" t="s">
        <v>113</v>
      </c>
      <c r="AQ112" s="13">
        <v>59.05</v>
      </c>
      <c r="AR112" s="13">
        <v>13.5</v>
      </c>
      <c r="AS112" s="16">
        <v>7.97175</v>
      </c>
      <c r="AT112" s="13">
        <v>42</v>
      </c>
      <c r="AU112" s="13">
        <v>255</v>
      </c>
      <c r="AV112" s="13">
        <v>638.9</v>
      </c>
      <c r="AW112" s="13">
        <v>64.3</v>
      </c>
      <c r="AX112" s="16">
        <v>410.8127</v>
      </c>
      <c r="AY112" s="31">
        <v>4</v>
      </c>
      <c r="AZ112" s="13">
        <v>0.06</v>
      </c>
      <c r="BA112" s="13">
        <v>2840</v>
      </c>
      <c r="BB112" s="13">
        <v>60.26</v>
      </c>
      <c r="BC112" s="13">
        <v>9.3</v>
      </c>
      <c r="BD112" s="16">
        <v>5.60418</v>
      </c>
      <c r="BE112" s="13">
        <v>40.8</v>
      </c>
      <c r="BF112" s="13">
        <v>154</v>
      </c>
      <c r="BG112" s="31"/>
      <c r="BH112" s="13">
        <v>111.9</v>
      </c>
      <c r="BI112" s="31">
        <v>5424</v>
      </c>
      <c r="BJ112" s="31">
        <v>1491</v>
      </c>
      <c r="BK112" s="31">
        <v>13.3</v>
      </c>
      <c r="BL112" s="13">
        <v>645000</v>
      </c>
      <c r="BM112" s="31">
        <v>99.2</v>
      </c>
      <c r="BN112" s="13" t="s">
        <v>103</v>
      </c>
      <c r="BO112" s="16">
        <v>24.242</v>
      </c>
      <c r="BP112" s="16">
        <v>54.964098600948</v>
      </c>
      <c r="BQ112" s="16">
        <v>212.579677431024</v>
      </c>
      <c r="BR112" s="102">
        <v>39.6078431372549</v>
      </c>
      <c r="BS112" s="13" t="s">
        <v>102</v>
      </c>
      <c r="BT112" s="13" t="s">
        <v>105</v>
      </c>
      <c r="BU112" s="12">
        <v>45954</v>
      </c>
      <c r="BV112" s="13" t="s">
        <v>105</v>
      </c>
      <c r="BW112" s="31">
        <v>10</v>
      </c>
      <c r="BX112" s="13" t="s">
        <v>103</v>
      </c>
      <c r="BY112" s="13" t="s">
        <v>103</v>
      </c>
      <c r="BZ112" s="13" t="s">
        <v>103</v>
      </c>
    </row>
    <row r="113" spans="1:78">
      <c r="A113" s="12">
        <v>45967</v>
      </c>
      <c r="B113" s="13">
        <v>25111003</v>
      </c>
      <c r="C113" s="13"/>
      <c r="D113" s="13"/>
      <c r="E113" s="13">
        <v>1</v>
      </c>
      <c r="F113" s="13" t="s">
        <v>111</v>
      </c>
      <c r="G113" s="13">
        <v>29</v>
      </c>
      <c r="H113" s="13">
        <v>7</v>
      </c>
      <c r="I113" s="13" t="s">
        <v>124</v>
      </c>
      <c r="J113" s="13" t="s">
        <v>159</v>
      </c>
      <c r="K113" s="13" t="s">
        <v>135</v>
      </c>
      <c r="L113" s="13">
        <v>600</v>
      </c>
      <c r="M113" s="13">
        <v>4</v>
      </c>
      <c r="N113" s="13" t="s">
        <v>103</v>
      </c>
      <c r="O113" s="13">
        <v>80</v>
      </c>
      <c r="P113" s="31">
        <v>1.6</v>
      </c>
      <c r="Q113" s="16">
        <v>31.25</v>
      </c>
      <c r="R113" s="13">
        <v>23</v>
      </c>
      <c r="S113" s="13" t="s">
        <v>106</v>
      </c>
      <c r="T113" s="13" t="s">
        <v>103</v>
      </c>
      <c r="U113" s="13" t="s">
        <v>103</v>
      </c>
      <c r="V113" s="16" t="e">
        <v>#VALUE!</v>
      </c>
      <c r="W113" s="87" t="e">
        <v>#VALUE!</v>
      </c>
      <c r="X113" s="13" t="s">
        <v>103</v>
      </c>
      <c r="Y113" s="13" t="s">
        <v>103</v>
      </c>
      <c r="Z113" s="13">
        <v>222</v>
      </c>
      <c r="AA113" s="13">
        <v>222</v>
      </c>
      <c r="AB113" s="13" t="s">
        <v>103</v>
      </c>
      <c r="AC113" s="13" t="s">
        <v>103</v>
      </c>
      <c r="AD113" s="13" t="s">
        <v>157</v>
      </c>
      <c r="AE113" s="13" t="s">
        <v>103</v>
      </c>
      <c r="AF113" s="13" t="s">
        <v>103</v>
      </c>
      <c r="AG113" s="13" t="s">
        <v>103</v>
      </c>
      <c r="AH113" s="13" t="s">
        <v>173</v>
      </c>
      <c r="AI113" s="13" t="s">
        <v>100</v>
      </c>
      <c r="AJ113" s="13" t="s">
        <v>101</v>
      </c>
      <c r="AK113" s="13" t="s">
        <v>102</v>
      </c>
      <c r="AL113" s="13" t="s">
        <v>113</v>
      </c>
      <c r="AM113" s="13" t="s">
        <v>100</v>
      </c>
      <c r="AN113" s="13" t="s">
        <v>102</v>
      </c>
      <c r="AO113" s="13" t="s">
        <v>102</v>
      </c>
      <c r="AP113" s="13">
        <v>69.5</v>
      </c>
      <c r="AQ113" s="13" t="s">
        <v>103</v>
      </c>
      <c r="AR113" s="13" t="s">
        <v>103</v>
      </c>
      <c r="AS113" s="16" t="e">
        <v>#VALUE!</v>
      </c>
      <c r="AT113" s="13" t="s">
        <v>103</v>
      </c>
      <c r="AU113" s="13" t="s">
        <v>103</v>
      </c>
      <c r="AV113" s="13">
        <v>20.05</v>
      </c>
      <c r="AW113" s="13">
        <v>18</v>
      </c>
      <c r="AX113" s="16">
        <v>3.609</v>
      </c>
      <c r="AY113" s="13">
        <v>17.5</v>
      </c>
      <c r="AZ113" s="13">
        <v>1.45</v>
      </c>
      <c r="BA113" s="13">
        <v>50</v>
      </c>
      <c r="BB113" s="13">
        <v>38.86</v>
      </c>
      <c r="BC113" s="13">
        <v>28.1</v>
      </c>
      <c r="BD113" s="16">
        <v>10.91966</v>
      </c>
      <c r="BE113" s="13">
        <v>29</v>
      </c>
      <c r="BF113" s="13">
        <v>286</v>
      </c>
      <c r="BG113" s="31" t="s">
        <v>103</v>
      </c>
      <c r="BH113" s="13" t="s">
        <v>103</v>
      </c>
      <c r="BI113" s="31" t="s">
        <v>103</v>
      </c>
      <c r="BJ113" s="31" t="s">
        <v>103</v>
      </c>
      <c r="BK113" s="31" t="s">
        <v>103</v>
      </c>
      <c r="BL113" s="13" t="s">
        <v>103</v>
      </c>
      <c r="BM113" s="31" t="s">
        <v>103</v>
      </c>
      <c r="BN113" s="13" t="s">
        <v>103</v>
      </c>
      <c r="BO113" s="16" t="e">
        <v>#VALUE!</v>
      </c>
      <c r="BP113" s="16" t="e">
        <v>#VALUE!</v>
      </c>
      <c r="BQ113" s="16" t="e">
        <v>#VALUE!</v>
      </c>
      <c r="BR113" s="102" t="e">
        <v>#VALUE!</v>
      </c>
      <c r="BS113" s="13" t="s">
        <v>103</v>
      </c>
      <c r="BT113" s="13" t="s">
        <v>105</v>
      </c>
      <c r="BU113" s="13" t="s">
        <v>103</v>
      </c>
      <c r="BV113" s="13" t="s">
        <v>174</v>
      </c>
      <c r="BW113" s="31" t="s">
        <v>103</v>
      </c>
      <c r="BX113" s="13" t="s">
        <v>175</v>
      </c>
      <c r="BY113" s="13"/>
      <c r="BZ113" s="13"/>
    </row>
    <row r="114" spans="1:78">
      <c r="A114" s="12">
        <v>45968</v>
      </c>
      <c r="B114" s="13">
        <v>25111005</v>
      </c>
      <c r="C114" s="13"/>
      <c r="D114" s="13"/>
      <c r="E114" s="13">
        <v>2</v>
      </c>
      <c r="F114" s="13" t="s">
        <v>111</v>
      </c>
      <c r="G114" s="13">
        <v>29</v>
      </c>
      <c r="H114" s="13">
        <v>7</v>
      </c>
      <c r="I114" s="13" t="s">
        <v>124</v>
      </c>
      <c r="J114" s="13" t="s">
        <v>159</v>
      </c>
      <c r="K114" s="13" t="s">
        <v>135</v>
      </c>
      <c r="L114" s="13">
        <v>600</v>
      </c>
      <c r="M114" s="13">
        <v>5</v>
      </c>
      <c r="N114" s="13">
        <v>0.24</v>
      </c>
      <c r="O114" s="13">
        <v>80</v>
      </c>
      <c r="P114" s="31">
        <v>1.6</v>
      </c>
      <c r="Q114" s="16">
        <v>31.25</v>
      </c>
      <c r="R114" s="13">
        <v>23</v>
      </c>
      <c r="S114" s="13" t="s">
        <v>95</v>
      </c>
      <c r="T114" s="13">
        <v>162</v>
      </c>
      <c r="U114" s="13">
        <v>4288</v>
      </c>
      <c r="V114" s="16">
        <v>2.5</v>
      </c>
      <c r="W114" s="87">
        <v>10188</v>
      </c>
      <c r="X114" s="13">
        <v>10720</v>
      </c>
      <c r="Y114" s="13">
        <v>532</v>
      </c>
      <c r="Z114" s="13">
        <v>133</v>
      </c>
      <c r="AA114" s="13">
        <v>131.7</v>
      </c>
      <c r="AB114" s="13" t="s">
        <v>96</v>
      </c>
      <c r="AC114" s="13" t="s">
        <v>97</v>
      </c>
      <c r="AD114" s="13" t="s">
        <v>98</v>
      </c>
      <c r="AE114" s="13">
        <v>80</v>
      </c>
      <c r="AF114" s="13">
        <v>80</v>
      </c>
      <c r="AG114" s="13">
        <v>60</v>
      </c>
      <c r="AH114" s="13" t="s">
        <v>176</v>
      </c>
      <c r="AI114" s="13" t="s">
        <v>100</v>
      </c>
      <c r="AJ114" s="13" t="s">
        <v>101</v>
      </c>
      <c r="AK114" s="13" t="s">
        <v>102</v>
      </c>
      <c r="AL114" s="13" t="s">
        <v>113</v>
      </c>
      <c r="AM114" s="13" t="s">
        <v>100</v>
      </c>
      <c r="AN114" s="13" t="s">
        <v>102</v>
      </c>
      <c r="AO114" s="13" t="s">
        <v>102</v>
      </c>
      <c r="AP114" s="13">
        <v>69.5</v>
      </c>
      <c r="AQ114" s="13">
        <v>33.51</v>
      </c>
      <c r="AR114" s="13">
        <v>26.1</v>
      </c>
      <c r="AS114" s="16">
        <v>8.74611</v>
      </c>
      <c r="AT114" s="13">
        <v>26.7</v>
      </c>
      <c r="AU114" s="13">
        <v>232</v>
      </c>
      <c r="AV114" s="13">
        <v>592.8</v>
      </c>
      <c r="AW114" s="13">
        <v>73.8</v>
      </c>
      <c r="AX114" s="16">
        <v>437.4864</v>
      </c>
      <c r="AY114" s="31">
        <v>4</v>
      </c>
      <c r="AZ114" s="13">
        <v>0.3</v>
      </c>
      <c r="BA114" s="13">
        <v>1650</v>
      </c>
      <c r="BB114" s="13">
        <v>32.95</v>
      </c>
      <c r="BC114" s="13">
        <v>16.9</v>
      </c>
      <c r="BD114" s="16">
        <v>5.56855</v>
      </c>
      <c r="BE114" s="13">
        <v>28.1</v>
      </c>
      <c r="BF114" s="13">
        <v>166</v>
      </c>
      <c r="BG114" s="31" t="s">
        <v>103</v>
      </c>
      <c r="BH114" s="13">
        <v>79.3</v>
      </c>
      <c r="BI114" s="31">
        <v>3145.2</v>
      </c>
      <c r="BJ114" s="31">
        <v>414.2</v>
      </c>
      <c r="BK114" s="31">
        <v>18</v>
      </c>
      <c r="BL114" s="13">
        <v>562986</v>
      </c>
      <c r="BM114" s="31">
        <v>99</v>
      </c>
      <c r="BN114" s="13" t="s">
        <v>103</v>
      </c>
      <c r="BO114" s="16">
        <v>10.188</v>
      </c>
      <c r="BP114" s="16">
        <v>51.2681883243199</v>
      </c>
      <c r="BQ114" s="16">
        <v>490.976477041608</v>
      </c>
      <c r="BR114" s="102">
        <v>28.448275862069</v>
      </c>
      <c r="BS114" s="13" t="s">
        <v>102</v>
      </c>
      <c r="BT114" s="13" t="s">
        <v>105</v>
      </c>
      <c r="BU114" s="12">
        <v>45969</v>
      </c>
      <c r="BV114" s="13" t="s">
        <v>105</v>
      </c>
      <c r="BW114" s="31">
        <v>9</v>
      </c>
      <c r="BX114" s="13" t="s">
        <v>177</v>
      </c>
      <c r="BY114" s="13" t="s">
        <v>103</v>
      </c>
      <c r="BZ114" s="13" t="s">
        <v>103</v>
      </c>
    </row>
    <row r="115" spans="1:78">
      <c r="A115" s="12">
        <v>45989</v>
      </c>
      <c r="B115" s="13">
        <v>25111015</v>
      </c>
      <c r="C115" s="13"/>
      <c r="D115" s="13"/>
      <c r="E115" s="13">
        <v>1</v>
      </c>
      <c r="F115" s="13" t="s">
        <v>91</v>
      </c>
      <c r="G115" s="13">
        <v>39</v>
      </c>
      <c r="H115" s="13">
        <v>60</v>
      </c>
      <c r="I115" s="13" t="s">
        <v>124</v>
      </c>
      <c r="J115" s="13" t="s">
        <v>178</v>
      </c>
      <c r="K115" s="13" t="s">
        <v>94</v>
      </c>
      <c r="L115" s="13">
        <v>900</v>
      </c>
      <c r="M115" s="13">
        <v>4</v>
      </c>
      <c r="N115" s="114" t="s">
        <v>103</v>
      </c>
      <c r="O115" s="13">
        <v>91</v>
      </c>
      <c r="P115" s="31">
        <v>1.71</v>
      </c>
      <c r="Q115" s="16">
        <v>31.120686707021</v>
      </c>
      <c r="R115" s="13">
        <v>71.5</v>
      </c>
      <c r="S115" s="13" t="s">
        <v>95</v>
      </c>
      <c r="T115" s="13">
        <v>185</v>
      </c>
      <c r="U115" s="13">
        <v>5368</v>
      </c>
      <c r="V115" s="16">
        <v>2.5</v>
      </c>
      <c r="W115" s="87">
        <v>12716</v>
      </c>
      <c r="X115" s="13">
        <v>13420</v>
      </c>
      <c r="Y115" s="13">
        <v>704</v>
      </c>
      <c r="Z115" s="13">
        <v>175</v>
      </c>
      <c r="AA115" s="13">
        <v>173.3</v>
      </c>
      <c r="AB115" s="13" t="s">
        <v>96</v>
      </c>
      <c r="AC115" s="13" t="s">
        <v>108</v>
      </c>
      <c r="AD115" s="13" t="s">
        <v>122</v>
      </c>
      <c r="AE115" s="13">
        <v>80</v>
      </c>
      <c r="AF115" s="13">
        <v>80</v>
      </c>
      <c r="AG115" s="13">
        <v>80</v>
      </c>
      <c r="AH115" s="13" t="s">
        <v>99</v>
      </c>
      <c r="AI115" s="13" t="s">
        <v>100</v>
      </c>
      <c r="AJ115" s="13" t="s">
        <v>101</v>
      </c>
      <c r="AK115" s="13" t="s">
        <v>102</v>
      </c>
      <c r="AL115" s="13">
        <v>112.1</v>
      </c>
      <c r="AM115" s="13" t="s">
        <v>100</v>
      </c>
      <c r="AN115" s="13" t="s">
        <v>101</v>
      </c>
      <c r="AO115" s="13" t="s">
        <v>102</v>
      </c>
      <c r="AP115" s="13" t="s">
        <v>113</v>
      </c>
      <c r="AQ115" s="13">
        <v>50.97</v>
      </c>
      <c r="AR115" s="13">
        <v>19.5</v>
      </c>
      <c r="AS115" s="16">
        <v>9.93915</v>
      </c>
      <c r="AT115" s="13">
        <v>45.4</v>
      </c>
      <c r="AU115" s="13">
        <v>194</v>
      </c>
      <c r="AV115" s="13">
        <v>394.81</v>
      </c>
      <c r="AW115" s="13">
        <v>94.9</v>
      </c>
      <c r="AX115" s="16">
        <v>374.67469</v>
      </c>
      <c r="AY115" s="31">
        <v>4.8</v>
      </c>
      <c r="AZ115" s="13">
        <v>0.64</v>
      </c>
      <c r="BA115" s="13">
        <v>3431</v>
      </c>
      <c r="BB115" s="13">
        <v>45.59</v>
      </c>
      <c r="BC115" s="13">
        <v>13.9</v>
      </c>
      <c r="BD115" s="16">
        <v>6.33701</v>
      </c>
      <c r="BE115" s="13">
        <v>45.1</v>
      </c>
      <c r="BF115" s="13">
        <v>102</v>
      </c>
      <c r="BG115" s="31"/>
      <c r="BH115" s="13">
        <v>160.1</v>
      </c>
      <c r="BI115" s="31">
        <v>6315.4</v>
      </c>
      <c r="BJ115" s="31">
        <v>1094.4</v>
      </c>
      <c r="BK115" s="31">
        <v>15.3</v>
      </c>
      <c r="BL115" s="13">
        <v>442921</v>
      </c>
      <c r="BM115" s="31">
        <v>99.1</v>
      </c>
      <c r="BN115" s="13" t="s">
        <v>103</v>
      </c>
      <c r="BO115" s="16">
        <v>12.716</v>
      </c>
      <c r="BP115" s="16">
        <v>53.7569020934738</v>
      </c>
      <c r="BQ115" s="16">
        <v>296.452141858864</v>
      </c>
      <c r="BR115" s="102">
        <v>47.4226804123711</v>
      </c>
      <c r="BS115" s="13" t="s">
        <v>102</v>
      </c>
      <c r="BT115" s="13" t="s">
        <v>105</v>
      </c>
      <c r="BU115" s="12">
        <v>45991</v>
      </c>
      <c r="BV115" s="13" t="s">
        <v>105</v>
      </c>
      <c r="BW115" s="31">
        <v>10</v>
      </c>
      <c r="BX115" s="13" t="s">
        <v>103</v>
      </c>
      <c r="BY115" s="13" t="s">
        <v>103</v>
      </c>
      <c r="BZ115" s="13" t="s">
        <v>103</v>
      </c>
    </row>
    <row r="116" spans="1:78">
      <c r="A116" s="12">
        <v>45996</v>
      </c>
      <c r="B116" s="13">
        <v>25112002</v>
      </c>
      <c r="C116" s="13"/>
      <c r="D116" s="13"/>
      <c r="E116" s="13">
        <v>1</v>
      </c>
      <c r="F116" s="13" t="s">
        <v>91</v>
      </c>
      <c r="G116" s="13">
        <v>54</v>
      </c>
      <c r="H116" s="13">
        <v>32</v>
      </c>
      <c r="I116" s="13" t="s">
        <v>124</v>
      </c>
      <c r="J116" s="13" t="s">
        <v>107</v>
      </c>
      <c r="K116" s="13" t="s">
        <v>94</v>
      </c>
      <c r="L116" s="13">
        <v>1200</v>
      </c>
      <c r="M116" s="13">
        <v>4</v>
      </c>
      <c r="N116" s="13" t="s">
        <v>103</v>
      </c>
      <c r="O116" s="13">
        <v>109</v>
      </c>
      <c r="P116" s="31">
        <v>1.74</v>
      </c>
      <c r="Q116" s="16">
        <v>36.0021138855859</v>
      </c>
      <c r="R116" s="13">
        <v>122</v>
      </c>
      <c r="S116" s="13" t="s">
        <v>95</v>
      </c>
      <c r="T116" s="13">
        <v>360</v>
      </c>
      <c r="U116" s="13">
        <v>6046</v>
      </c>
      <c r="V116" s="16">
        <v>4.96890506119749</v>
      </c>
      <c r="W116" s="87">
        <v>28589</v>
      </c>
      <c r="X116" s="13">
        <v>30042</v>
      </c>
      <c r="Y116" s="13">
        <v>1453</v>
      </c>
      <c r="Z116" s="13">
        <v>346</v>
      </c>
      <c r="AA116" s="13">
        <v>342.5</v>
      </c>
      <c r="AB116" s="13" t="s">
        <v>96</v>
      </c>
      <c r="AC116" s="13" t="s">
        <v>108</v>
      </c>
      <c r="AD116" s="13" t="s">
        <v>98</v>
      </c>
      <c r="AE116" s="13">
        <v>85</v>
      </c>
      <c r="AF116" s="13">
        <v>90</v>
      </c>
      <c r="AG116" s="13">
        <v>90</v>
      </c>
      <c r="AH116" s="13" t="s">
        <v>109</v>
      </c>
      <c r="AI116" s="13" t="s">
        <v>110</v>
      </c>
      <c r="AJ116" s="13" t="s">
        <v>101</v>
      </c>
      <c r="AK116" s="13" t="s">
        <v>102</v>
      </c>
      <c r="AL116" s="13">
        <v>227</v>
      </c>
      <c r="AM116" s="13" t="s">
        <v>110</v>
      </c>
      <c r="AN116" s="13" t="s">
        <v>101</v>
      </c>
      <c r="AO116" s="13" t="s">
        <v>102</v>
      </c>
      <c r="AP116" s="13" t="s">
        <v>113</v>
      </c>
      <c r="AQ116" s="13">
        <v>60.79</v>
      </c>
      <c r="AR116" s="13">
        <v>14.7</v>
      </c>
      <c r="AS116" s="16">
        <v>8.93613</v>
      </c>
      <c r="AT116" s="13">
        <v>43.3</v>
      </c>
      <c r="AU116" s="13">
        <v>209</v>
      </c>
      <c r="AV116" s="13">
        <v>414.32</v>
      </c>
      <c r="AW116" s="13">
        <v>71.4</v>
      </c>
      <c r="AX116" s="16">
        <v>295.82448</v>
      </c>
      <c r="AY116" s="31">
        <v>2.9</v>
      </c>
      <c r="AZ116" s="13">
        <v>0.33</v>
      </c>
      <c r="BA116" s="13">
        <v>2505</v>
      </c>
      <c r="BB116" s="13">
        <v>45.14</v>
      </c>
      <c r="BC116" s="13">
        <v>8.5</v>
      </c>
      <c r="BD116" s="16">
        <v>3.8369</v>
      </c>
      <c r="BE116" s="13">
        <v>42.6</v>
      </c>
      <c r="BF116" s="13">
        <v>85</v>
      </c>
      <c r="BG116" s="31"/>
      <c r="BH116" s="13">
        <v>75</v>
      </c>
      <c r="BI116" s="31">
        <v>3230.8</v>
      </c>
      <c r="BJ116" s="31">
        <v>1106.5</v>
      </c>
      <c r="BK116" s="31">
        <v>9</v>
      </c>
      <c r="BL116" s="13">
        <v>476086</v>
      </c>
      <c r="BM116" s="31">
        <v>98.2</v>
      </c>
      <c r="BN116" s="13" t="s">
        <v>103</v>
      </c>
      <c r="BO116" s="16">
        <v>28.589</v>
      </c>
      <c r="BP116" s="16">
        <v>51.6049296349412</v>
      </c>
      <c r="BQ116" s="16">
        <v>115.793896146862</v>
      </c>
      <c r="BR116" s="102">
        <v>59.3301435406699</v>
      </c>
      <c r="BS116" s="13" t="s">
        <v>102</v>
      </c>
      <c r="BT116" s="13" t="s">
        <v>105</v>
      </c>
      <c r="BU116" s="12">
        <v>45998</v>
      </c>
      <c r="BV116" s="13" t="s">
        <v>105</v>
      </c>
      <c r="BW116" s="31">
        <v>9</v>
      </c>
      <c r="BX116" s="13" t="s">
        <v>103</v>
      </c>
      <c r="BY116" s="13" t="s">
        <v>103</v>
      </c>
      <c r="BZ116" s="13" t="s">
        <v>103</v>
      </c>
    </row>
    <row r="117" spans="22:63">
      <c r="V117" s="88">
        <f>MEDIAN(V110:V112,V114:V116)</f>
        <v>3.00006862475981</v>
      </c>
      <c r="BK117" s="88">
        <f>MEDIAN(BK110:BK116)</f>
        <v>14.3</v>
      </c>
    </row>
  </sheetData>
  <protectedRanges>
    <protectedRange algorithmName="SHA-512" hashValue="M1qYlco6JY5oG+z6r6KGKp0f7459X/7SSu//C7VOijOlLMQ62vDI7Poal+KEzy0T2PMkWZ5YCZZhEa8eyZOi/Q==" saltValue="w1edGYp+JBnqK0fApdfGbQ==" spinCount="100000" sqref="V3:W6 V1:V2 Q1:Q6 AS1:AS6 AX1:AX6 BD1:BD6 BO1:BR6" name="AllowSortFilter"/>
    <protectedRange algorithmName="SHA-512" hashValue="M1qYlco6JY5oG+z6r6KGKp0f7459X/7SSu//C7VOijOlLMQ62vDI7Poal+KEzy0T2PMkWZ5YCZZhEa8eyZOi/Q==" saltValue="w1edGYp+JBnqK0fApdfGbQ==" spinCount="100000" sqref="W2" name="AllowSortFilter_1"/>
    <protectedRange algorithmName="SHA-512" hashValue="M1qYlco6JY5oG+z6r6KGKp0f7459X/7SSu//C7VOijOlLMQ62vDI7Poal+KEzy0T2PMkWZ5YCZZhEa8eyZOi/Q==" saltValue="w1edGYp+JBnqK0fApdfGbQ==" spinCount="100000" sqref="V7:W7 Q7 AS7 AX7 BD7 BO7:BR7" name="AllowSortFilter_2"/>
    <protectedRange algorithmName="SHA-512" hashValue="M1qYlco6JY5oG+z6r6KGKp0f7459X/7SSu//C7VOijOlLMQ62vDI7Poal+KEzy0T2PMkWZ5YCZZhEa8eyZOi/Q==" saltValue="w1edGYp+JBnqK0fApdfGbQ==" spinCount="100000" sqref="V8:W11 Q8:Q11 AS8:AS11 AX8:AX11 BD8:BD11 BO8:BR11" name="AllowSortFilter_3"/>
    <protectedRange algorithmName="SHA-512" hashValue="M1qYlco6JY5oG+z6r6KGKp0f7459X/7SSu//C7VOijOlLMQ62vDI7Poal+KEzy0T2PMkWZ5YCZZhEa8eyZOi/Q==" saltValue="w1edGYp+JBnqK0fApdfGbQ==" spinCount="100000" sqref="V12:W12 Q12 AS12 AX12 BD12 BO12:BR12" name="AllowSortFilter_4"/>
    <protectedRange algorithmName="SHA-512" hashValue="M1qYlco6JY5oG+z6r6KGKp0f7459X/7SSu//C7VOijOlLMQ62vDI7Poal+KEzy0T2PMkWZ5YCZZhEa8eyZOi/Q==" saltValue="w1edGYp+JBnqK0fApdfGbQ==" spinCount="100000" sqref="V13:W13 Q13 AS13 AX13 BD13 BO13:BR13" name="AllowSortFilter_5"/>
    <protectedRange algorithmName="SHA-512" hashValue="M1qYlco6JY5oG+z6r6KGKp0f7459X/7SSu//C7VOijOlLMQ62vDI7Poal+KEzy0T2PMkWZ5YCZZhEa8eyZOi/Q==" saltValue="w1edGYp+JBnqK0fApdfGbQ==" spinCount="100000" sqref="V14:W14 Q14 AS14 AX14 BD14 BO14:BR14" name="AllowSortFilter_6"/>
    <protectedRange algorithmName="SHA-512" hashValue="M1qYlco6JY5oG+z6r6KGKp0f7459X/7SSu//C7VOijOlLMQ62vDI7Poal+KEzy0T2PMkWZ5YCZZhEa8eyZOi/Q==" saltValue="w1edGYp+JBnqK0fApdfGbQ==" spinCount="100000" sqref="V18 Q18 AS18 AX18 BD18 BO18:BR18" name="AllowSortFilter_7"/>
    <protectedRange algorithmName="SHA-512" hashValue="M1qYlco6JY5oG+z6r6KGKp0f7459X/7SSu//C7VOijOlLMQ62vDI7Poal+KEzy0T2PMkWZ5YCZZhEa8eyZOi/Q==" saltValue="w1edGYp+JBnqK0fApdfGbQ==" spinCount="100000" sqref="V19:W19 Q19 AS19 AX19 BD19 BO19:BR19" name="AllowSortFilter_8"/>
    <protectedRange algorithmName="SHA-512" hashValue="M1qYlco6JY5oG+z6r6KGKp0f7459X/7SSu//C7VOijOlLMQ62vDI7Poal+KEzy0T2PMkWZ5YCZZhEa8eyZOi/Q==" saltValue="w1edGYp+JBnqK0fApdfGbQ==" spinCount="100000" sqref="V20:W20 Q20 AS20 AX20 BD20 BO20:BR20" name="AllowSortFilter_9"/>
    <protectedRange algorithmName="SHA-512" hashValue="M1qYlco6JY5oG+z6r6KGKp0f7459X/7SSu//C7VOijOlLMQ62vDI7Poal+KEzy0T2PMkWZ5YCZZhEa8eyZOi/Q==" saltValue="w1edGYp+JBnqK0fApdfGbQ==" spinCount="100000" sqref="V21:W21 Q21 AS21 AX21 BD21 BO21:BR21" name="AllowSortFilter_10"/>
    <protectedRange algorithmName="SHA-512" hashValue="M1qYlco6JY5oG+z6r6KGKp0f7459X/7SSu//C7VOijOlLMQ62vDI7Poal+KEzy0T2PMkWZ5YCZZhEa8eyZOi/Q==" saltValue="w1edGYp+JBnqK0fApdfGbQ==" spinCount="100000" sqref="V24 Q24 AS24 AX24 BD24 BO24:BR24" name="AllowSortFilter_11"/>
    <protectedRange algorithmName="SHA-512" hashValue="M1qYlco6JY5oG+z6r6KGKp0f7459X/7SSu//C7VOijOlLMQ62vDI7Poal+KEzy0T2PMkWZ5YCZZhEa8eyZOi/Q==" saltValue="w1edGYp+JBnqK0fApdfGbQ==" spinCount="100000" sqref="V25:W25 Q25 AS25 AX25 BD25 BO25:BR25" name="AllowSortFilter_12"/>
    <protectedRange algorithmName="SHA-512" hashValue="M1qYlco6JY5oG+z6r6KGKp0f7459X/7SSu//C7VOijOlLMQ62vDI7Poal+KEzy0T2PMkWZ5YCZZhEa8eyZOi/Q==" saltValue="w1edGYp+JBnqK0fApdfGbQ==" spinCount="100000" sqref="V26:W27 Q26:Q27 AS26:AS27 AX26:AX27 BD26:BD27 BO26:BR27" name="AllowSortFilter_13"/>
    <protectedRange algorithmName="SHA-512" hashValue="M1qYlco6JY5oG+z6r6KGKp0f7459X/7SSu//C7VOijOlLMQ62vDI7Poal+KEzy0T2PMkWZ5YCZZhEa8eyZOi/Q==" saltValue="w1edGYp+JBnqK0fApdfGbQ==" spinCount="100000" sqref="V31 Q31 AS31 AX31 BD31 BO31:BR31" name="AllowSortFilter_14"/>
    <protectedRange algorithmName="SHA-512" hashValue="M1qYlco6JY5oG+z6r6KGKp0f7459X/7SSu//C7VOijOlLMQ62vDI7Poal+KEzy0T2PMkWZ5YCZZhEa8eyZOi/Q==" saltValue="w1edGYp+JBnqK0fApdfGbQ==" spinCount="100000" sqref="Q32:Q33 AS32:AS33 AX32:AX33 BD32:BD33 BO32:BR33 V32:W33" name="AllowSortFilter_15"/>
    <protectedRange algorithmName="SHA-512" hashValue="M1qYlco6JY5oG+z6r6KGKp0f7459X/7SSu//C7VOijOlLMQ62vDI7Poal+KEzy0T2PMkWZ5YCZZhEa8eyZOi/Q==" saltValue="w1edGYp+JBnqK0fApdfGbQ==" spinCount="100000" sqref="Q34 AS34 AX34 BD34 BO34:BR34 V34:W34" name="AllowSortFilter_16"/>
    <protectedRange algorithmName="SHA-512" hashValue="M1qYlco6JY5oG+z6r6KGKp0f7459X/7SSu//C7VOijOlLMQ62vDI7Poal+KEzy0T2PMkWZ5YCZZhEa8eyZOi/Q==" saltValue="w1edGYp+JBnqK0fApdfGbQ==" spinCount="100000" sqref="Q35 AS35 AX35 BD35 BO35:BR35 V35:W35" name="AllowSortFilter_17"/>
    <protectedRange algorithmName="SHA-512" hashValue="M1qYlco6JY5oG+z6r6KGKp0f7459X/7SSu//C7VOijOlLMQ62vDI7Poal+KEzy0T2PMkWZ5YCZZhEa8eyZOi/Q==" saltValue="w1edGYp+JBnqK0fApdfGbQ==" spinCount="100000" sqref="Q36 AS36 AX36 BD36 BO36:BR36 V36:W36" name="AllowSortFilter_18"/>
    <protectedRange algorithmName="SHA-512" hashValue="M1qYlco6JY5oG+z6r6KGKp0f7459X/7SSu//C7VOijOlLMQ62vDI7Poal+KEzy0T2PMkWZ5YCZZhEa8eyZOi/Q==" saltValue="w1edGYp+JBnqK0fApdfGbQ==" spinCount="100000" sqref="V40 Q40 AS40 AX40 BD40 BO40:BR40" name="AllowSortFilter_19"/>
    <protectedRange algorithmName="SHA-512" hashValue="M1qYlco6JY5oG+z6r6KGKp0f7459X/7SSu//C7VOijOlLMQ62vDI7Poal+KEzy0T2PMkWZ5YCZZhEa8eyZOi/Q==" saltValue="w1edGYp+JBnqK0fApdfGbQ==" spinCount="100000" sqref="Q41 AS41 AX41 BD41 BO41:BR41 V41:W41" name="AllowSortFilter_20"/>
    <protectedRange algorithmName="SHA-512" hashValue="M1qYlco6JY5oG+z6r6KGKp0f7459X/7SSu//C7VOijOlLMQ62vDI7Poal+KEzy0T2PMkWZ5YCZZhEa8eyZOi/Q==" saltValue="w1edGYp+JBnqK0fApdfGbQ==" spinCount="100000" sqref="Q42 AS42 AX42 BD42 BO42:BR42 V42:W42" name="AllowSortFilter_21"/>
    <protectedRange algorithmName="SHA-512" hashValue="M1qYlco6JY5oG+z6r6KGKp0f7459X/7SSu//C7VOijOlLMQ62vDI7Poal+KEzy0T2PMkWZ5YCZZhEa8eyZOi/Q==" saltValue="w1edGYp+JBnqK0fApdfGbQ==" spinCount="100000" sqref="Q43 AS43 AX43 BD43 BO43:BR43 V43:W43" name="AllowSortFilter_22"/>
    <protectedRange algorithmName="SHA-512" hashValue="M1qYlco6JY5oG+z6r6KGKp0f7459X/7SSu//C7VOijOlLMQ62vDI7Poal+KEzy0T2PMkWZ5YCZZhEa8eyZOi/Q==" saltValue="w1edGYp+JBnqK0fApdfGbQ==" spinCount="100000" sqref="V47 Q47 AS47 AX47 BD47 BO47:BR47" name="AllowSortFilter_23"/>
    <protectedRange algorithmName="SHA-512" hashValue="M1qYlco6JY5oG+z6r6KGKp0f7459X/7SSu//C7VOijOlLMQ62vDI7Poal+KEzy0T2PMkWZ5YCZZhEa8eyZOi/Q==" saltValue="w1edGYp+JBnqK0fApdfGbQ==" spinCount="100000" sqref="Q48:Q51 AS48:AS51 AX48:AX51 BD48:BD51 BO48:BR51 V48:W51" name="AllowSortFilter_24"/>
    <protectedRange algorithmName="SHA-512" hashValue="M1qYlco6JY5oG+z6r6KGKp0f7459X/7SSu//C7VOijOlLMQ62vDI7Poal+KEzy0T2PMkWZ5YCZZhEa8eyZOi/Q==" saltValue="w1edGYp+JBnqK0fApdfGbQ==" spinCount="100000" sqref="Q52 AS52 AX52 BD52 BO52:BR52 V52:W52" name="AllowSortFilter_25"/>
    <protectedRange algorithmName="SHA-512" hashValue="M1qYlco6JY5oG+z6r6KGKp0f7459X/7SSu//C7VOijOlLMQ62vDI7Poal+KEzy0T2PMkWZ5YCZZhEa8eyZOi/Q==" saltValue="w1edGYp+JBnqK0fApdfGbQ==" spinCount="100000" sqref="Q53 AS53 AX53 BD53 BO53:BR53 V53:W53" name="AllowSortFilter_26"/>
    <protectedRange algorithmName="SHA-512" hashValue="M1qYlco6JY5oG+z6r6KGKp0f7459X/7SSu//C7VOijOlLMQ62vDI7Poal+KEzy0T2PMkWZ5YCZZhEa8eyZOi/Q==" saltValue="w1edGYp+JBnqK0fApdfGbQ==" spinCount="100000" sqref="Q54:Q55 AS54:AS55 AX54:AX55 BD54:BD55 BO54:BR55 V54:W55" name="AllowSortFilter_27"/>
    <protectedRange algorithmName="SHA-512" hashValue="M1qYlco6JY5oG+z6r6KGKp0f7459X/7SSu//C7VOijOlLMQ62vDI7Poal+KEzy0T2PMkWZ5YCZZhEa8eyZOi/Q==" saltValue="w1edGYp+JBnqK0fApdfGbQ==" spinCount="100000" sqref="Q56 AS56 AX56 BD56 BO56:BR56 V56:W56" name="AllowSortFilter_28"/>
    <protectedRange algorithmName="SHA-512" hashValue="M1qYlco6JY5oG+z6r6KGKp0f7459X/7SSu//C7VOijOlLMQ62vDI7Poal+KEzy0T2PMkWZ5YCZZhEa8eyZOi/Q==" saltValue="w1edGYp+JBnqK0fApdfGbQ==" spinCount="100000" sqref="Q57:Q58 AS57:AS58 AX57:AX58 BD57:BD58 BO57:BR58 V57:W58" name="AllowSortFilter_29"/>
    <protectedRange algorithmName="SHA-512" hashValue="M1qYlco6JY5oG+z6r6KGKp0f7459X/7SSu//C7VOijOlLMQ62vDI7Poal+KEzy0T2PMkWZ5YCZZhEa8eyZOi/Q==" saltValue="w1edGYp+JBnqK0fApdfGbQ==" spinCount="100000" sqref="V61 BD61 Q61 BO61:BR61 AS61 AX61" name="AllowSortFilter_30"/>
    <protectedRange algorithmName="SHA-512" hashValue="M1qYlco6JY5oG+z6r6KGKp0f7459X/7SSu//C7VOijOlLMQ62vDI7Poal+KEzy0T2PMkWZ5YCZZhEa8eyZOi/Q==" saltValue="w1edGYp+JBnqK0fApdfGbQ==" spinCount="100000" sqref="BD62:BD63 V62:W63 Q62:Q63 BO62:BR63 AS62:AS63 AX62:AX63" name="AllowSortFilter_31"/>
    <protectedRange algorithmName="SHA-512" hashValue="M1qYlco6JY5oG+z6r6KGKp0f7459X/7SSu//C7VOijOlLMQ62vDI7Poal+KEzy0T2PMkWZ5YCZZhEa8eyZOi/Q==" saltValue="w1edGYp+JBnqK0fApdfGbQ==" spinCount="100000" sqref="BD64:BD66 V64:W66 Q64:Q66 BO64:BR66 AS64:AS66 AX64:AX66" name="AllowSortFilter_32"/>
    <protectedRange algorithmName="SHA-512" hashValue="M1qYlco6JY5oG+z6r6KGKp0f7459X/7SSu//C7VOijOlLMQ62vDI7Poal+KEzy0T2PMkWZ5YCZZhEa8eyZOi/Q==" saltValue="w1edGYp+JBnqK0fApdfGbQ==" spinCount="100000" sqref="Q67 V67:W67 AS67 AX67 BO67:BR67 BD67" name="AllowSortFilter_33"/>
    <protectedRange algorithmName="SHA-512" hashValue="M1qYlco6JY5oG+z6r6KGKp0f7459X/7SSu//C7VOijOlLMQ62vDI7Poal+KEzy0T2PMkWZ5YCZZhEa8eyZOi/Q==" saltValue="w1edGYp+JBnqK0fApdfGbQ==" spinCount="100000" sqref="V71 BD71 Q71 BO71:BR71 AS71 AX71" name="AllowSortFilter_34"/>
    <protectedRange algorithmName="SHA-512" hashValue="M1qYlco6JY5oG+z6r6KGKp0f7459X/7SSu//C7VOijOlLMQ62vDI7Poal+KEzy0T2PMkWZ5YCZZhEa8eyZOi/Q==" saltValue="w1edGYp+JBnqK0fApdfGbQ==" spinCount="100000" sqref="BD72 V72:W72 Q72 BO72:BR72 AS72 AX72" name="AllowSortFilter_35"/>
    <protectedRange algorithmName="SHA-512" hashValue="M1qYlco6JY5oG+z6r6KGKp0f7459X/7SSu//C7VOijOlLMQ62vDI7Poal+KEzy0T2PMkWZ5YCZZhEa8eyZOi/Q==" saltValue="w1edGYp+JBnqK0fApdfGbQ==" spinCount="100000" sqref="Q73:Q74 V73:W74 AS73:AS74 AX73:AX74 BO73:BR74 BD73:BD74" name="AllowSortFilter_36"/>
    <protectedRange algorithmName="SHA-512" hashValue="M1qYlco6JY5oG+z6r6KGKp0f7459X/7SSu//C7VOijOlLMQ62vDI7Poal+KEzy0T2PMkWZ5YCZZhEa8eyZOi/Q==" saltValue="w1edGYp+JBnqK0fApdfGbQ==" spinCount="100000" sqref="Q75 V75:W75 AS75 AX75 BO75:BR75 BD75" name="AllowSortFilter_37"/>
    <protectedRange algorithmName="SHA-512" hashValue="M1qYlco6JY5oG+z6r6KGKp0f7459X/7SSu//C7VOijOlLMQ62vDI7Poal+KEzy0T2PMkWZ5YCZZhEa8eyZOi/Q==" saltValue="w1edGYp+JBnqK0fApdfGbQ==" spinCount="100000" sqref="V79 BD79 Q79 BO79:BR79 AS79 AX79" name="AllowSortFilter_38"/>
    <protectedRange algorithmName="SHA-512" hashValue="M1qYlco6JY5oG+z6r6KGKp0f7459X/7SSu//C7VOijOlLMQ62vDI7Poal+KEzy0T2PMkWZ5YCZZhEa8eyZOi/Q==" saltValue="w1edGYp+JBnqK0fApdfGbQ==" spinCount="100000" sqref="BD80 V80:W80 Q80 BO80:BR80 AS80 AX80" name="AllowSortFilter_39"/>
    <protectedRange algorithmName="SHA-512" hashValue="M1qYlco6JY5oG+z6r6KGKp0f7459X/7SSu//C7VOijOlLMQ62vDI7Poal+KEzy0T2PMkWZ5YCZZhEa8eyZOi/Q==" saltValue="w1edGYp+JBnqK0fApdfGbQ==" spinCount="100000" sqref="BD81 V81:W81 Q81 BO81:BR81 AS81 AX81" name="AllowSortFilter_40"/>
    <protectedRange algorithmName="SHA-512" hashValue="M1qYlco6JY5oG+z6r6KGKp0f7459X/7SSu//C7VOijOlLMQ62vDI7Poal+KEzy0T2PMkWZ5YCZZhEa8eyZOi/Q==" saltValue="w1edGYp+JBnqK0fApdfGbQ==" spinCount="100000" sqref="BD82:BD83 AS82:AS83 V82:W83 Q82:Q83 BO82:BR83 AX82:AX83 Q86:Q88 V86:W88 AS86:AS88 AX86:AX88 BO86:BR88 BD86:BD88" name="AllowSortFilter_41"/>
    <protectedRange algorithmName="SHA-512" hashValue="M1qYlco6JY5oG+z6r6KGKp0f7459X/7SSu//C7VOijOlLMQ62vDI7Poal+KEzy0T2PMkWZ5YCZZhEa8eyZOi/Q==" saltValue="w1edGYp+JBnqK0fApdfGbQ==" spinCount="100000" sqref="Q89:Q90 V89:W90 AS89:AS90 AX89:AX90 BO89:BR90 BD89:BD90" name="AllowSortFilter_42"/>
    <protectedRange algorithmName="SHA-512" hashValue="M1qYlco6JY5oG+z6r6KGKp0f7459X/7SSu//C7VOijOlLMQ62vDI7Poal+KEzy0T2PMkWZ5YCZZhEa8eyZOi/Q==" saltValue="w1edGYp+JBnqK0fApdfGbQ==" spinCount="100000" sqref="Q91:Q92 V91:W92 AS91:AS92 AX91:AX92 BO91:BR92 BD91:BD92" name="AllowSortFilter_43"/>
    <protectedRange algorithmName="SHA-512" hashValue="M1qYlco6JY5oG+z6r6KGKp0f7459X/7SSu//C7VOijOlLMQ62vDI7Poal+KEzy0T2PMkWZ5YCZZhEa8eyZOi/Q==" saltValue="w1edGYp+JBnqK0fApdfGbQ==" spinCount="100000" sqref="V93 BD93 Q93 BO93:BR93 AS93 AX93" name="AllowSortFilter_44"/>
    <protectedRange algorithmName="SHA-512" hashValue="M1qYlco6JY5oG+z6r6KGKp0f7459X/7SSu//C7VOijOlLMQ62vDI7Poal+KEzy0T2PMkWZ5YCZZhEa8eyZOi/Q==" saltValue="w1edGYp+JBnqK0fApdfGbQ==" spinCount="100000" sqref="Q94 BD94 AX94 AS94 V94:W94 BO94:BR94" name="AllowSortFilter_45"/>
    <protectedRange algorithmName="SHA-512" hashValue="M1qYlco6JY5oG+z6r6KGKp0f7459X/7SSu//C7VOijOlLMQ62vDI7Poal+KEzy0T2PMkWZ5YCZZhEa8eyZOi/Q==" saltValue="w1edGYp+JBnqK0fApdfGbQ==" spinCount="100000" sqref="Q95 BD95 AX95 AS95 V95:W95 BO95:BR95" name="AllowSortFilter_46"/>
    <protectedRange algorithmName="SHA-512" hashValue="M1qYlco6JY5oG+z6r6KGKp0f7459X/7SSu//C7VOijOlLMQ62vDI7Poal+KEzy0T2PMkWZ5YCZZhEa8eyZOi/Q==" saltValue="w1edGYp+JBnqK0fApdfGbQ==" spinCount="100000" sqref="Q96:Q97 BD96:BD97 AX96:AX97 AS96:AS97 V96:W97 BO96:BR97" name="AllowSortFilter_47"/>
    <protectedRange algorithmName="SHA-512" hashValue="M1qYlco6JY5oG+z6r6KGKp0f7459X/7SSu//C7VOijOlLMQ62vDI7Poal+KEzy0T2PMkWZ5YCZZhEa8eyZOi/Q==" saltValue="w1edGYp+JBnqK0fApdfGbQ==" spinCount="100000" sqref="Q98:Q99 BD98:BD99 AX98:AX99 AS98:AS99 V98:W99 BO98:BR99" name="AllowSortFilter_48"/>
    <protectedRange algorithmName="SHA-512" hashValue="M1qYlco6JY5oG+z6r6KGKp0f7459X/7SSu//C7VOijOlLMQ62vDI7Poal+KEzy0T2PMkWZ5YCZZhEa8eyZOi/Q==" saltValue="w1edGYp+JBnqK0fApdfGbQ==" spinCount="100000" sqref="V103 BD103 Q103 BO103:BR103 AS103 AX103" name="AllowSortFilter_49"/>
    <protectedRange algorithmName="SHA-512" hashValue="M1qYlco6JY5oG+z6r6KGKp0f7459X/7SSu//C7VOijOlLMQ62vDI7Poal+KEzy0T2PMkWZ5YCZZhEa8eyZOi/Q==" saltValue="w1edGYp+JBnqK0fApdfGbQ==" spinCount="100000" sqref="Q104:Q105 BD104:BD105 AX104:AX105 AS104:AS105 V104:W105 BO104:BR105" name="AllowSortFilter_50"/>
    <protectedRange algorithmName="SHA-512" hashValue="M1qYlco6JY5oG+z6r6KGKp0f7459X/7SSu//C7VOijOlLMQ62vDI7Poal+KEzy0T2PMkWZ5YCZZhEa8eyZOi/Q==" saltValue="w1edGYp+JBnqK0fApdfGbQ==" spinCount="100000" sqref="V109 BD109 Q109 BO109:BR109 AS109 AX109" name="AllowSortFilter_51"/>
    <protectedRange algorithmName="SHA-512" hashValue="M1qYlco6JY5oG+z6r6KGKp0f7459X/7SSu//C7VOijOlLMQ62vDI7Poal+KEzy0T2PMkWZ5YCZZhEa8eyZOi/Q==" saltValue="w1edGYp+JBnqK0fApdfGbQ==" spinCount="100000" sqref="Q110 BD110 AX110 AS110 V110:W110 BO110:BR110" name="AllowSortFilter_52"/>
    <protectedRange algorithmName="SHA-512" hashValue="M1qYlco6JY5oG+z6r6KGKp0f7459X/7SSu//C7VOijOlLMQ62vDI7Poal+KEzy0T2PMkWZ5YCZZhEa8eyZOi/Q==" saltValue="w1edGYp+JBnqK0fApdfGbQ==" spinCount="100000" sqref="Q111:Q112 BD111:BD112 AX111:AX112 AS111:AS112 V111:W112 BO111:BR112" name="AllowSortFilter_53"/>
    <protectedRange algorithmName="SHA-512" hashValue="M1qYlco6JY5oG+z6r6KGKp0f7459X/7SSu//C7VOijOlLMQ62vDI7Poal+KEzy0T2PMkWZ5YCZZhEa8eyZOi/Q==" saltValue="w1edGYp+JBnqK0fApdfGbQ==" spinCount="100000" sqref="Q113:Q114 BD113:BD114 AX113:AX114 AS113:AS114 V113:W114 BO113:BR114" name="AllowSortFilter_54"/>
    <protectedRange algorithmName="SHA-512" hashValue="M1qYlco6JY5oG+z6r6KGKp0f7459X/7SSu//C7VOijOlLMQ62vDI7Poal+KEzy0T2PMkWZ5YCZZhEa8eyZOi/Q==" saltValue="w1edGYp+JBnqK0fApdfGbQ==" spinCount="100000" sqref="Q115:Q116 BD115:BD116 AX115:AX116 AS115:AS116 V115:W116 BO115:BR116" name="AllowSortFilter_55"/>
  </protectedRanges>
  <pageMargins left="0.7" right="0.7" top="0.75" bottom="0.75" header="0.3" footer="0.3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6"/>
  <sheetViews>
    <sheetView workbookViewId="0">
      <selection activeCell="O89" sqref="O89:O90"/>
    </sheetView>
  </sheetViews>
  <sheetFormatPr defaultColWidth="11.4285714285714" defaultRowHeight="15" outlineLevelCol="7"/>
  <cols>
    <col min="1" max="1" width="19.4285714285714" customWidth="1"/>
    <col min="2" max="2" width="11.8571428571429" customWidth="1"/>
  </cols>
  <sheetData>
    <row r="1" spans="2:2">
      <c r="B1" s="1" t="s">
        <v>181</v>
      </c>
    </row>
    <row r="7" spans="1:2">
      <c r="A7" t="s">
        <v>182</v>
      </c>
      <c r="B7">
        <v>30</v>
      </c>
    </row>
    <row r="8" spans="1:2">
      <c r="A8" t="s">
        <v>183</v>
      </c>
      <c r="B8">
        <v>12</v>
      </c>
    </row>
    <row r="9" spans="1:2">
      <c r="A9" t="s">
        <v>184</v>
      </c>
      <c r="B9">
        <v>32</v>
      </c>
    </row>
    <row r="10" spans="2:2">
      <c r="B10">
        <f>SUM(B7:B9)</f>
        <v>74</v>
      </c>
    </row>
    <row r="25" spans="2:2">
      <c r="B25" t="s">
        <v>185</v>
      </c>
    </row>
    <row r="26" spans="1:2">
      <c r="A26" t="s">
        <v>186</v>
      </c>
      <c r="B26">
        <v>16</v>
      </c>
    </row>
    <row r="27" spans="1:2">
      <c r="A27" t="s">
        <v>187</v>
      </c>
      <c r="B27">
        <v>58</v>
      </c>
    </row>
    <row r="28" spans="2:2">
      <c r="B28">
        <f>SUM(B26:B27)</f>
        <v>74</v>
      </c>
    </row>
    <row r="41" spans="2:2">
      <c r="B41" t="s">
        <v>188</v>
      </c>
    </row>
    <row r="42" spans="1:2">
      <c r="A42" t="s">
        <v>189</v>
      </c>
      <c r="B42">
        <v>73</v>
      </c>
    </row>
    <row r="43" spans="1:2">
      <c r="A43" t="s">
        <v>190</v>
      </c>
      <c r="B43">
        <v>1</v>
      </c>
    </row>
    <row r="44" spans="2:2">
      <c r="B44">
        <f>SUM(B42:B43)</f>
        <v>74</v>
      </c>
    </row>
    <row r="56" spans="2:2">
      <c r="B56" t="s">
        <v>191</v>
      </c>
    </row>
    <row r="57" spans="1:2">
      <c r="A57" t="s">
        <v>98</v>
      </c>
      <c r="B57">
        <v>50</v>
      </c>
    </row>
    <row r="58" spans="1:2">
      <c r="A58" t="s">
        <v>122</v>
      </c>
      <c r="B58">
        <v>23</v>
      </c>
    </row>
    <row r="59" spans="2:2">
      <c r="B59">
        <f>SUM(B57:B58)</f>
        <v>73</v>
      </c>
    </row>
    <row r="71" spans="2:2">
      <c r="B71" s="1" t="s">
        <v>192</v>
      </c>
    </row>
    <row r="72" spans="1:2">
      <c r="A72">
        <v>2015</v>
      </c>
      <c r="B72">
        <v>56</v>
      </c>
    </row>
    <row r="73" spans="1:2">
      <c r="A73">
        <v>2016</v>
      </c>
      <c r="B73">
        <v>93</v>
      </c>
    </row>
    <row r="74" spans="1:2">
      <c r="A74">
        <v>2017</v>
      </c>
      <c r="B74">
        <v>112</v>
      </c>
    </row>
    <row r="75" spans="1:2">
      <c r="A75">
        <v>2018</v>
      </c>
      <c r="B75">
        <v>64</v>
      </c>
    </row>
    <row r="76" spans="1:2">
      <c r="A76">
        <v>2019</v>
      </c>
      <c r="B76">
        <v>75</v>
      </c>
    </row>
    <row r="77" spans="1:2">
      <c r="A77">
        <v>2020</v>
      </c>
      <c r="B77">
        <v>90</v>
      </c>
    </row>
    <row r="78" spans="1:2">
      <c r="A78">
        <v>2021</v>
      </c>
      <c r="B78">
        <v>101</v>
      </c>
    </row>
    <row r="79" spans="1:2">
      <c r="A79">
        <v>2022</v>
      </c>
      <c r="B79">
        <v>112</v>
      </c>
    </row>
    <row r="80" spans="1:2">
      <c r="A80">
        <v>2023</v>
      </c>
      <c r="B80">
        <v>96</v>
      </c>
    </row>
    <row r="81" spans="1:2">
      <c r="A81">
        <v>2024</v>
      </c>
      <c r="B81">
        <v>116</v>
      </c>
    </row>
    <row r="82" spans="1:2">
      <c r="A82">
        <v>2025</v>
      </c>
      <c r="B82">
        <v>74</v>
      </c>
    </row>
    <row r="92" spans="2:8">
      <c r="B92" s="2" t="s">
        <v>92</v>
      </c>
      <c r="C92" s="2" t="s">
        <v>120</v>
      </c>
      <c r="D92" s="2" t="s">
        <v>124</v>
      </c>
      <c r="E92" s="3" t="s">
        <v>193</v>
      </c>
      <c r="H92" s="2"/>
    </row>
    <row r="93" spans="1:8">
      <c r="A93" s="4" t="s">
        <v>194</v>
      </c>
      <c r="B93" s="2">
        <v>5</v>
      </c>
      <c r="C93" s="2">
        <v>1</v>
      </c>
      <c r="D93" s="2">
        <v>1</v>
      </c>
      <c r="E93" s="3">
        <f t="shared" ref="E93:E104" si="0">SUM(B93:D93)</f>
        <v>7</v>
      </c>
      <c r="H93" s="2"/>
    </row>
    <row r="94" spans="1:8">
      <c r="A94" s="4" t="s">
        <v>195</v>
      </c>
      <c r="B94" s="2">
        <v>2</v>
      </c>
      <c r="C94" s="2">
        <v>1</v>
      </c>
      <c r="D94" s="2">
        <v>0</v>
      </c>
      <c r="E94" s="3">
        <f t="shared" si="0"/>
        <v>3</v>
      </c>
      <c r="H94" s="2"/>
    </row>
    <row r="95" spans="1:5">
      <c r="A95" s="4" t="s">
        <v>196</v>
      </c>
      <c r="B95" s="2">
        <v>6</v>
      </c>
      <c r="C95" s="2">
        <v>1</v>
      </c>
      <c r="D95" s="2">
        <v>2</v>
      </c>
      <c r="E95" s="3">
        <f t="shared" si="0"/>
        <v>9</v>
      </c>
    </row>
    <row r="96" spans="1:5">
      <c r="A96" s="4" t="s">
        <v>197</v>
      </c>
      <c r="B96" s="2">
        <v>0</v>
      </c>
      <c r="C96" s="2">
        <v>1</v>
      </c>
      <c r="D96" s="2">
        <v>5</v>
      </c>
      <c r="E96" s="3">
        <f t="shared" si="0"/>
        <v>6</v>
      </c>
    </row>
    <row r="97" spans="1:5">
      <c r="A97" s="4" t="s">
        <v>198</v>
      </c>
      <c r="B97" s="2">
        <v>2</v>
      </c>
      <c r="C97" s="2">
        <v>1</v>
      </c>
      <c r="D97" s="2">
        <v>1</v>
      </c>
      <c r="E97" s="3">
        <f t="shared" si="0"/>
        <v>4</v>
      </c>
    </row>
    <row r="98" spans="1:5">
      <c r="A98" s="4" t="s">
        <v>199</v>
      </c>
      <c r="B98" s="2">
        <v>3</v>
      </c>
      <c r="C98" s="2">
        <v>1</v>
      </c>
      <c r="D98" s="2">
        <v>5</v>
      </c>
      <c r="E98" s="3">
        <f t="shared" si="0"/>
        <v>9</v>
      </c>
    </row>
    <row r="99" spans="1:5">
      <c r="A99" s="4" t="s">
        <v>200</v>
      </c>
      <c r="B99" s="2">
        <v>5</v>
      </c>
      <c r="C99" s="2">
        <v>1</v>
      </c>
      <c r="D99" s="2">
        <v>1</v>
      </c>
      <c r="E99" s="3">
        <f t="shared" si="0"/>
        <v>7</v>
      </c>
    </row>
    <row r="100" spans="1:5">
      <c r="A100" s="4" t="s">
        <v>201</v>
      </c>
      <c r="B100" s="2">
        <v>0</v>
      </c>
      <c r="C100" s="2">
        <v>0</v>
      </c>
      <c r="D100" s="2">
        <v>5</v>
      </c>
      <c r="E100" s="3">
        <f t="shared" si="0"/>
        <v>5</v>
      </c>
    </row>
    <row r="101" spans="1:5">
      <c r="A101" s="4" t="s">
        <v>202</v>
      </c>
      <c r="B101" s="2">
        <v>1</v>
      </c>
      <c r="C101" s="2">
        <v>3</v>
      </c>
      <c r="D101" s="2">
        <v>5</v>
      </c>
      <c r="E101" s="3">
        <f t="shared" si="0"/>
        <v>9</v>
      </c>
    </row>
    <row r="102" spans="1:5">
      <c r="A102" s="4" t="s">
        <v>203</v>
      </c>
      <c r="B102" s="2">
        <v>1</v>
      </c>
      <c r="C102" s="2">
        <v>2</v>
      </c>
      <c r="D102" s="2">
        <v>3</v>
      </c>
      <c r="E102" s="3">
        <f t="shared" si="0"/>
        <v>6</v>
      </c>
    </row>
    <row r="103" spans="1:5">
      <c r="A103" s="4" t="s">
        <v>204</v>
      </c>
      <c r="B103" s="2">
        <v>3</v>
      </c>
      <c r="C103" s="2">
        <v>0</v>
      </c>
      <c r="D103" s="2">
        <v>3</v>
      </c>
      <c r="E103" s="3">
        <f t="shared" si="0"/>
        <v>6</v>
      </c>
    </row>
    <row r="104" spans="1:5">
      <c r="A104" s="4" t="s">
        <v>205</v>
      </c>
      <c r="B104" s="2">
        <v>2</v>
      </c>
      <c r="C104" s="2">
        <v>0</v>
      </c>
      <c r="D104" s="2">
        <v>1</v>
      </c>
      <c r="E104" s="3">
        <f t="shared" si="0"/>
        <v>3</v>
      </c>
    </row>
    <row r="105" spans="5:5">
      <c r="E105" s="3"/>
    </row>
    <row r="106" spans="5:5">
      <c r="E106" s="5">
        <f>SUM(E93:E105)</f>
        <v>74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"/>
  <sheetViews>
    <sheetView zoomScale="80" zoomScaleNormal="80" workbookViewId="0">
      <selection activeCell="C14" sqref="C14:C15"/>
    </sheetView>
  </sheetViews>
  <sheetFormatPr defaultColWidth="11.4285714285714" defaultRowHeight="15"/>
  <cols>
    <col min="1" max="1" width="11.7142857142857" style="2" customWidth="1"/>
    <col min="2" max="2" width="11.4285714285714" style="2"/>
    <col min="3" max="3" width="41.2857142857143" style="2" customWidth="1"/>
    <col min="4" max="4" width="34.2857142857143" style="2" customWidth="1"/>
    <col min="5" max="5" width="11.4285714285714" style="2"/>
    <col min="6" max="6" width="22.4285714285714" style="2" customWidth="1"/>
    <col min="7" max="11" width="11.4285714285714" style="2"/>
    <col min="12" max="12" width="23.1428571428571" style="2" customWidth="1"/>
    <col min="13" max="14" width="11.4285714285714" style="2"/>
    <col min="15" max="15" width="31.1428571428571" style="2" customWidth="1"/>
    <col min="16" max="16" width="29.7142857142857" style="2" customWidth="1"/>
    <col min="17" max="20" width="11.4285714285714" style="2"/>
    <col min="21" max="21" width="28.5714285714286" style="2" customWidth="1"/>
    <col min="22" max="22" width="38.4285714285714" style="2" customWidth="1"/>
    <col min="23" max="31" width="11.4285714285714" style="2"/>
  </cols>
  <sheetData>
    <row r="1" ht="15.75" spans="1:31">
      <c r="A1" s="54" t="s">
        <v>206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ht="36.75" spans="1:35">
      <c r="A2" s="56" t="s">
        <v>0</v>
      </c>
      <c r="B2" s="57" t="s">
        <v>1</v>
      </c>
      <c r="C2" s="57" t="s">
        <v>2</v>
      </c>
      <c r="D2" s="57" t="s">
        <v>3</v>
      </c>
      <c r="E2" s="57" t="s">
        <v>8</v>
      </c>
      <c r="F2" s="57" t="s">
        <v>6</v>
      </c>
      <c r="G2" s="57" t="s">
        <v>14</v>
      </c>
      <c r="H2" s="57" t="s">
        <v>34</v>
      </c>
      <c r="I2" s="57" t="s">
        <v>207</v>
      </c>
      <c r="J2" s="57" t="s">
        <v>7</v>
      </c>
      <c r="K2" s="57" t="s">
        <v>17</v>
      </c>
      <c r="L2" s="57" t="s">
        <v>38</v>
      </c>
      <c r="M2" s="57" t="s">
        <v>39</v>
      </c>
      <c r="N2" s="69" t="s">
        <v>208</v>
      </c>
      <c r="O2" s="69" t="s">
        <v>209</v>
      </c>
      <c r="P2" s="69" t="s">
        <v>210</v>
      </c>
      <c r="Q2" s="73" t="s">
        <v>211</v>
      </c>
      <c r="R2" s="73" t="s">
        <v>212</v>
      </c>
      <c r="S2" s="73" t="s">
        <v>213</v>
      </c>
      <c r="T2" s="74" t="s">
        <v>214</v>
      </c>
      <c r="U2" s="75" t="s">
        <v>215</v>
      </c>
      <c r="V2" s="75" t="s">
        <v>216</v>
      </c>
      <c r="W2" s="75" t="s">
        <v>217</v>
      </c>
      <c r="X2" s="75" t="s">
        <v>218</v>
      </c>
      <c r="Y2" s="75" t="s">
        <v>219</v>
      </c>
      <c r="Z2" s="75" t="s">
        <v>220</v>
      </c>
      <c r="AA2" s="75" t="s">
        <v>221</v>
      </c>
      <c r="AB2" s="78" t="s">
        <v>222</v>
      </c>
      <c r="AC2" s="78" t="s">
        <v>223</v>
      </c>
      <c r="AD2" s="78" t="s">
        <v>224</v>
      </c>
      <c r="AE2" s="78" t="s">
        <v>225</v>
      </c>
      <c r="AF2" s="79" t="s">
        <v>226</v>
      </c>
      <c r="AG2" s="80" t="s">
        <v>71</v>
      </c>
      <c r="AH2" s="81" t="s">
        <v>33</v>
      </c>
      <c r="AI2" s="82" t="s">
        <v>74</v>
      </c>
    </row>
    <row r="3" spans="1:35">
      <c r="A3" s="58">
        <v>45856</v>
      </c>
      <c r="B3" s="59">
        <v>25107007</v>
      </c>
      <c r="C3" s="59"/>
      <c r="D3" s="59"/>
      <c r="E3" s="2" t="s">
        <v>120</v>
      </c>
      <c r="F3" s="2">
        <v>68</v>
      </c>
      <c r="G3" s="2">
        <v>91</v>
      </c>
      <c r="H3" s="2" t="s">
        <v>100</v>
      </c>
      <c r="I3" s="2" t="s">
        <v>101</v>
      </c>
      <c r="J3" s="2">
        <v>61</v>
      </c>
      <c r="K3" s="2">
        <v>84</v>
      </c>
      <c r="L3" s="2" t="s">
        <v>227</v>
      </c>
      <c r="M3" s="2" t="s">
        <v>101</v>
      </c>
      <c r="N3" s="2" t="s">
        <v>94</v>
      </c>
      <c r="O3" s="2">
        <v>900</v>
      </c>
      <c r="P3" s="2">
        <v>2</v>
      </c>
      <c r="Q3" s="2" t="s">
        <v>103</v>
      </c>
      <c r="R3" s="2" t="s">
        <v>103</v>
      </c>
      <c r="S3" s="2" t="s">
        <v>103</v>
      </c>
      <c r="T3" s="2" t="s">
        <v>103</v>
      </c>
      <c r="U3" s="2">
        <v>586.7</v>
      </c>
      <c r="V3" s="2">
        <v>3706</v>
      </c>
      <c r="W3" s="76">
        <f>V3*1000*Y3</f>
        <v>895369600</v>
      </c>
      <c r="X3" s="76">
        <f>W3/K3</f>
        <v>10659161.9047619</v>
      </c>
      <c r="Y3" s="2">
        <v>241.6</v>
      </c>
      <c r="Z3" s="76">
        <f>V3*1000*Y3</f>
        <v>895369600</v>
      </c>
      <c r="AA3" s="76">
        <f>Z3/K3</f>
        <v>10659161.9047619</v>
      </c>
      <c r="AB3" s="2">
        <v>38.95</v>
      </c>
      <c r="AC3" s="2">
        <v>41.5</v>
      </c>
      <c r="AD3" s="2">
        <v>4.59</v>
      </c>
      <c r="AE3" s="2">
        <v>12.7</v>
      </c>
      <c r="AF3" s="2">
        <v>212</v>
      </c>
      <c r="AG3" s="2" t="s">
        <v>102</v>
      </c>
      <c r="AH3" s="2" t="s">
        <v>99</v>
      </c>
      <c r="AI3" s="2" t="s">
        <v>105</v>
      </c>
    </row>
    <row r="4" spans="1:35">
      <c r="A4" s="58">
        <v>45937</v>
      </c>
      <c r="B4" s="59">
        <v>25110002</v>
      </c>
      <c r="C4" s="59"/>
      <c r="D4" s="59"/>
      <c r="E4" s="2" t="s">
        <v>120</v>
      </c>
      <c r="F4" s="2">
        <v>68</v>
      </c>
      <c r="G4" s="2">
        <v>91</v>
      </c>
      <c r="H4" s="2" t="s">
        <v>100</v>
      </c>
      <c r="I4" s="2" t="s">
        <v>101</v>
      </c>
      <c r="J4" s="2">
        <v>61</v>
      </c>
      <c r="K4" s="2">
        <v>84</v>
      </c>
      <c r="L4" s="2" t="s">
        <v>227</v>
      </c>
      <c r="M4" s="2" t="s">
        <v>101</v>
      </c>
      <c r="N4" s="2" t="s">
        <v>94</v>
      </c>
      <c r="O4" s="2">
        <v>600</v>
      </c>
      <c r="P4" s="2">
        <v>3</v>
      </c>
      <c r="Q4" s="2" t="s">
        <v>103</v>
      </c>
      <c r="R4" s="2" t="s">
        <v>103</v>
      </c>
      <c r="S4" s="2" t="s">
        <v>103</v>
      </c>
      <c r="T4" s="2" t="s">
        <v>103</v>
      </c>
      <c r="U4" s="2">
        <v>512.6</v>
      </c>
      <c r="V4" s="2">
        <v>4502</v>
      </c>
      <c r="W4" s="76">
        <f>V4*1000*Y4</f>
        <v>1216440400</v>
      </c>
      <c r="X4" s="76">
        <f>W4/K4</f>
        <v>14481433.3333333</v>
      </c>
      <c r="Y4" s="2">
        <v>270.2</v>
      </c>
      <c r="Z4" s="76">
        <f>V4*1000*Y4</f>
        <v>1216440400</v>
      </c>
      <c r="AA4" s="76">
        <f>Z4/K4</f>
        <v>14481433.3333333</v>
      </c>
      <c r="AB4" s="2">
        <v>49.61</v>
      </c>
      <c r="AC4" s="2">
        <v>74.7</v>
      </c>
      <c r="AD4" s="2">
        <v>8.48</v>
      </c>
      <c r="AE4" s="2">
        <v>15.3</v>
      </c>
      <c r="AF4" s="2">
        <v>355</v>
      </c>
      <c r="AG4" s="2" t="s">
        <v>102</v>
      </c>
      <c r="AH4" s="2" t="s">
        <v>99</v>
      </c>
      <c r="AI4" s="2" t="s">
        <v>119</v>
      </c>
    </row>
    <row r="5" spans="1:35">
      <c r="A5" s="58">
        <v>46013</v>
      </c>
      <c r="B5" s="59">
        <v>25112007</v>
      </c>
      <c r="C5" s="59"/>
      <c r="D5" s="59"/>
      <c r="E5" s="2" t="s">
        <v>120</v>
      </c>
      <c r="F5" s="2">
        <v>14</v>
      </c>
      <c r="G5" s="2">
        <v>82</v>
      </c>
      <c r="H5" s="2" t="s">
        <v>100</v>
      </c>
      <c r="I5" s="2" t="s">
        <v>101</v>
      </c>
      <c r="J5" s="2">
        <v>22</v>
      </c>
      <c r="K5" s="2">
        <v>80</v>
      </c>
      <c r="L5" s="2" t="s">
        <v>100</v>
      </c>
      <c r="M5" s="2" t="s">
        <v>101</v>
      </c>
      <c r="N5" s="2" t="s">
        <v>94</v>
      </c>
      <c r="O5" s="2">
        <v>900</v>
      </c>
      <c r="P5" s="2">
        <v>3</v>
      </c>
      <c r="Q5" s="2" t="s">
        <v>103</v>
      </c>
      <c r="R5" s="2" t="s">
        <v>103</v>
      </c>
      <c r="S5" s="2" t="s">
        <v>103</v>
      </c>
      <c r="T5" s="2" t="s">
        <v>103</v>
      </c>
      <c r="U5" s="2">
        <v>521</v>
      </c>
      <c r="V5" s="2">
        <v>3214</v>
      </c>
      <c r="W5" s="76">
        <f>V5*1000*U5</f>
        <v>1674494000</v>
      </c>
      <c r="X5" s="76">
        <f>W5/K5</f>
        <v>20931175</v>
      </c>
      <c r="Y5" s="2">
        <v>268.8</v>
      </c>
      <c r="Z5" s="76">
        <v>1674494000</v>
      </c>
      <c r="AA5" s="76">
        <v>20931175</v>
      </c>
      <c r="AB5" s="2">
        <v>46.94</v>
      </c>
      <c r="AC5" s="2">
        <v>36.9</v>
      </c>
      <c r="AD5" s="2">
        <v>4.41</v>
      </c>
      <c r="AE5" s="2">
        <v>17.2</v>
      </c>
      <c r="AF5" s="2">
        <v>152</v>
      </c>
      <c r="AG5" s="2" t="s">
        <v>102</v>
      </c>
      <c r="AH5" s="2" t="s">
        <v>99</v>
      </c>
      <c r="AI5" s="2" t="s">
        <v>105</v>
      </c>
    </row>
    <row r="7" ht="15.75" spans="1:22">
      <c r="A7" s="60" t="s">
        <v>228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 ht="36.75" spans="1:22">
      <c r="A8" s="62" t="s">
        <v>0</v>
      </c>
      <c r="B8" s="63" t="s">
        <v>1</v>
      </c>
      <c r="C8" s="63" t="s">
        <v>2</v>
      </c>
      <c r="D8" s="63" t="s">
        <v>229</v>
      </c>
      <c r="E8" s="63" t="s">
        <v>230</v>
      </c>
      <c r="F8" s="63" t="s">
        <v>9</v>
      </c>
      <c r="G8" s="64" t="s">
        <v>14</v>
      </c>
      <c r="H8" s="65" t="s">
        <v>231</v>
      </c>
      <c r="I8" s="70" t="s">
        <v>232</v>
      </c>
      <c r="J8" s="70" t="s">
        <v>233</v>
      </c>
      <c r="K8" s="70" t="s">
        <v>234</v>
      </c>
      <c r="L8" s="70" t="s">
        <v>235</v>
      </c>
      <c r="M8" s="70" t="s">
        <v>236</v>
      </c>
      <c r="N8" s="70" t="s">
        <v>237</v>
      </c>
      <c r="O8" s="70" t="s">
        <v>238</v>
      </c>
      <c r="P8" s="71" t="s">
        <v>239</v>
      </c>
      <c r="Q8" s="71" t="s">
        <v>240</v>
      </c>
      <c r="R8" s="65" t="s">
        <v>28</v>
      </c>
      <c r="S8" s="70" t="s">
        <v>241</v>
      </c>
      <c r="T8" s="70" t="s">
        <v>242</v>
      </c>
      <c r="U8" s="77"/>
      <c r="V8" s="77" t="s">
        <v>243</v>
      </c>
    </row>
    <row r="9" spans="1:1">
      <c r="A9" s="66"/>
    </row>
    <row r="12" ht="15.75" spans="1:31">
      <c r="A12" s="67" t="s">
        <v>244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/>
      <c r="W12"/>
      <c r="X12"/>
      <c r="Y12"/>
      <c r="Z12"/>
      <c r="AA12"/>
      <c r="AB12"/>
      <c r="AC12"/>
      <c r="AD12"/>
      <c r="AE12"/>
    </row>
    <row r="13" ht="36.75" spans="1:31">
      <c r="A13" s="62" t="s">
        <v>0</v>
      </c>
      <c r="B13" s="63" t="s">
        <v>1</v>
      </c>
      <c r="C13" s="63" t="s">
        <v>245</v>
      </c>
      <c r="D13" s="63" t="s">
        <v>229</v>
      </c>
      <c r="E13" s="63" t="s">
        <v>246</v>
      </c>
      <c r="F13" s="63" t="s">
        <v>9</v>
      </c>
      <c r="G13" s="64" t="s">
        <v>14</v>
      </c>
      <c r="H13" s="65" t="s">
        <v>231</v>
      </c>
      <c r="I13" s="70" t="s">
        <v>232</v>
      </c>
      <c r="J13" s="70" t="s">
        <v>233</v>
      </c>
      <c r="K13" s="70" t="s">
        <v>234</v>
      </c>
      <c r="L13" s="70" t="s">
        <v>235</v>
      </c>
      <c r="M13" s="70" t="s">
        <v>236</v>
      </c>
      <c r="N13" s="70" t="s">
        <v>237</v>
      </c>
      <c r="O13" s="70" t="s">
        <v>238</v>
      </c>
      <c r="P13" s="72" t="s">
        <v>247</v>
      </c>
      <c r="Q13" s="71" t="s">
        <v>239</v>
      </c>
      <c r="R13" s="71" t="s">
        <v>240</v>
      </c>
      <c r="S13" s="65" t="s">
        <v>28</v>
      </c>
      <c r="T13" s="70" t="s">
        <v>241</v>
      </c>
      <c r="U13" s="70" t="s">
        <v>242</v>
      </c>
      <c r="V13" s="77" t="s">
        <v>243</v>
      </c>
      <c r="W13"/>
      <c r="X13"/>
      <c r="Y13"/>
      <c r="Z13"/>
      <c r="AA13"/>
      <c r="AB13"/>
      <c r="AC13"/>
      <c r="AD13"/>
      <c r="AE13"/>
    </row>
    <row r="14" spans="1:22">
      <c r="A14" s="66">
        <v>45834</v>
      </c>
      <c r="B14" s="2" t="s">
        <v>103</v>
      </c>
      <c r="C14" s="2"/>
      <c r="D14" s="2" t="s">
        <v>111</v>
      </c>
      <c r="E14" s="2">
        <v>17</v>
      </c>
      <c r="F14" s="2" t="s">
        <v>248</v>
      </c>
      <c r="G14" s="2">
        <v>61.5</v>
      </c>
      <c r="H14" s="2">
        <v>167</v>
      </c>
      <c r="I14" s="2">
        <v>3893</v>
      </c>
      <c r="J14" s="2">
        <v>30.6</v>
      </c>
      <c r="K14" s="2">
        <v>161</v>
      </c>
      <c r="L14" s="2" t="s">
        <v>249</v>
      </c>
      <c r="M14" s="2">
        <v>3017</v>
      </c>
      <c r="N14" s="2">
        <v>2538</v>
      </c>
      <c r="O14" s="2">
        <v>2198</v>
      </c>
      <c r="P14" s="2" t="s">
        <v>250</v>
      </c>
      <c r="Q14" s="2">
        <v>5127</v>
      </c>
      <c r="R14" s="2">
        <v>342</v>
      </c>
      <c r="S14" s="2" t="s">
        <v>108</v>
      </c>
      <c r="T14" s="2" t="s">
        <v>98</v>
      </c>
      <c r="U14" s="2" t="s">
        <v>251</v>
      </c>
      <c r="V14" s="2" t="s">
        <v>99</v>
      </c>
    </row>
    <row r="15" spans="1:22">
      <c r="A15" s="66">
        <v>45925</v>
      </c>
      <c r="B15" s="2" t="s">
        <v>103</v>
      </c>
      <c r="C15" s="2"/>
      <c r="D15" s="2" t="s">
        <v>111</v>
      </c>
      <c r="E15" s="2">
        <v>18</v>
      </c>
      <c r="F15" s="2" t="s">
        <v>248</v>
      </c>
      <c r="G15" s="2">
        <v>63</v>
      </c>
      <c r="H15" s="2">
        <v>165</v>
      </c>
      <c r="I15" s="2">
        <v>3867</v>
      </c>
      <c r="J15" s="2">
        <v>27.5</v>
      </c>
      <c r="K15" s="2">
        <v>191</v>
      </c>
      <c r="L15" s="2" t="s">
        <v>249</v>
      </c>
      <c r="M15" s="2">
        <v>2823</v>
      </c>
      <c r="N15" s="2">
        <v>2319</v>
      </c>
      <c r="O15" s="2">
        <v>1974</v>
      </c>
      <c r="P15" s="2" t="s">
        <v>250</v>
      </c>
      <c r="Q15" s="2">
        <v>4496</v>
      </c>
      <c r="R15" s="2">
        <v>217</v>
      </c>
      <c r="S15" s="2" t="s">
        <v>121</v>
      </c>
      <c r="T15" s="2" t="s">
        <v>98</v>
      </c>
      <c r="U15" s="2" t="s">
        <v>251</v>
      </c>
      <c r="V15" s="2" t="s">
        <v>99</v>
      </c>
    </row>
    <row r="16" spans="1:1">
      <c r="A16" s="66"/>
    </row>
    <row r="17" spans="1:1">
      <c r="A17" s="66"/>
    </row>
    <row r="18" spans="1:1">
      <c r="A18" s="66"/>
    </row>
    <row r="19" spans="1:1">
      <c r="A19" s="66"/>
    </row>
  </sheetData>
  <pageMargins left="0.7" right="0.7" top="0.75" bottom="0.75" header="0.3" footer="0.3"/>
  <pageSetup paperSize="1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9"/>
  <sheetViews>
    <sheetView topLeftCell="P1" workbookViewId="0">
      <pane xSplit="9" ySplit="1" topLeftCell="Y2" activePane="bottomRight" state="frozen"/>
      <selection/>
      <selection pane="topRight"/>
      <selection pane="bottomLeft"/>
      <selection pane="bottomRight" activeCell="S29" sqref="S29"/>
    </sheetView>
  </sheetViews>
  <sheetFormatPr defaultColWidth="11.4285714285714" defaultRowHeight="15"/>
  <cols>
    <col min="46" max="46" width="11.4285714285714" style="2"/>
    <col min="47" max="47" width="11.4285714285714" style="7"/>
    <col min="48" max="48" width="11.4285714285714" style="2"/>
    <col min="49" max="49" width="11.4285714285714" style="7"/>
    <col min="50" max="50" width="10.7142857142857" style="2" customWidth="1"/>
    <col min="51" max="51" width="12.2857142857143" style="7" customWidth="1"/>
    <col min="52" max="52" width="11.4285714285714" style="2"/>
    <col min="53" max="53" width="11.4285714285714" style="7"/>
    <col min="54" max="54" width="11.4285714285714" style="2"/>
    <col min="55" max="55" width="11.4285714285714" style="7"/>
    <col min="56" max="60" width="11.4285714285714" style="2"/>
  </cols>
  <sheetData>
    <row r="1" ht="34.5" spans="1:61">
      <c r="A1" s="8" t="s">
        <v>0</v>
      </c>
      <c r="B1" s="9" t="s">
        <v>1</v>
      </c>
      <c r="C1" s="9" t="s">
        <v>2</v>
      </c>
      <c r="D1" s="9" t="s">
        <v>3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14</v>
      </c>
      <c r="K1" s="9" t="s">
        <v>15</v>
      </c>
      <c r="L1" s="14" t="s">
        <v>16</v>
      </c>
      <c r="M1" s="9" t="s">
        <v>17</v>
      </c>
      <c r="N1" s="9" t="s">
        <v>19</v>
      </c>
      <c r="O1" s="9" t="s">
        <v>20</v>
      </c>
      <c r="P1" s="9" t="s">
        <v>5</v>
      </c>
      <c r="Q1" s="9" t="s">
        <v>14</v>
      </c>
      <c r="R1" s="9" t="s">
        <v>15</v>
      </c>
      <c r="S1" s="9" t="s">
        <v>20</v>
      </c>
      <c r="T1" s="17" t="s">
        <v>21</v>
      </c>
      <c r="U1" s="9" t="s">
        <v>23</v>
      </c>
      <c r="V1" s="9" t="s">
        <v>24</v>
      </c>
      <c r="W1" s="9" t="s">
        <v>25</v>
      </c>
      <c r="X1" s="18" t="s">
        <v>26</v>
      </c>
      <c r="Y1" s="21" t="s">
        <v>27</v>
      </c>
      <c r="Z1" s="22" t="s">
        <v>28</v>
      </c>
      <c r="AA1" s="23" t="s">
        <v>29</v>
      </c>
      <c r="AB1" s="24" t="s">
        <v>30</v>
      </c>
      <c r="AC1" s="24" t="s">
        <v>31</v>
      </c>
      <c r="AD1" s="24" t="s">
        <v>32</v>
      </c>
      <c r="AE1" s="25" t="s">
        <v>42</v>
      </c>
      <c r="AF1" s="25" t="s">
        <v>43</v>
      </c>
      <c r="AG1" s="26" t="s">
        <v>44</v>
      </c>
      <c r="AH1" s="25" t="s">
        <v>45</v>
      </c>
      <c r="AI1" s="25" t="s">
        <v>46</v>
      </c>
      <c r="AJ1" s="27" t="s">
        <v>47</v>
      </c>
      <c r="AK1" s="27" t="s">
        <v>48</v>
      </c>
      <c r="AL1" s="28" t="s">
        <v>49</v>
      </c>
      <c r="AM1" s="29" t="s">
        <v>51</v>
      </c>
      <c r="AN1" s="27" t="s">
        <v>52</v>
      </c>
      <c r="AO1" s="27" t="s">
        <v>53</v>
      </c>
      <c r="AP1" s="32" t="s">
        <v>252</v>
      </c>
      <c r="AQ1" s="32" t="s">
        <v>253</v>
      </c>
      <c r="AR1" s="33" t="s">
        <v>23</v>
      </c>
      <c r="AS1" s="34" t="s">
        <v>21</v>
      </c>
      <c r="AT1" s="32" t="s">
        <v>254</v>
      </c>
      <c r="AU1" s="14" t="s">
        <v>255</v>
      </c>
      <c r="AV1" s="32" t="s">
        <v>256</v>
      </c>
      <c r="AW1" s="14" t="s">
        <v>257</v>
      </c>
      <c r="AX1" s="32" t="s">
        <v>258</v>
      </c>
      <c r="AY1" s="14" t="s">
        <v>259</v>
      </c>
      <c r="AZ1" s="32" t="s">
        <v>260</v>
      </c>
      <c r="BA1" s="14" t="s">
        <v>261</v>
      </c>
      <c r="BB1" s="32" t="s">
        <v>262</v>
      </c>
      <c r="BC1" s="14" t="s">
        <v>263</v>
      </c>
      <c r="BD1" s="43" t="s">
        <v>264</v>
      </c>
      <c r="BE1" s="45" t="s">
        <v>265</v>
      </c>
      <c r="BF1" s="46" t="s">
        <v>44</v>
      </c>
      <c r="BG1" s="47" t="s">
        <v>266</v>
      </c>
      <c r="BH1" s="47" t="s">
        <v>267</v>
      </c>
      <c r="BI1" t="s">
        <v>268</v>
      </c>
    </row>
    <row r="2" s="6" customFormat="1" spans="1:60">
      <c r="A2" s="10">
        <v>44609</v>
      </c>
      <c r="B2" s="11">
        <v>22020042</v>
      </c>
      <c r="C2" s="11" t="s">
        <v>269</v>
      </c>
      <c r="D2" s="11" t="s">
        <v>269</v>
      </c>
      <c r="E2" s="11" t="s">
        <v>111</v>
      </c>
      <c r="F2" s="11">
        <v>68</v>
      </c>
      <c r="G2" s="11">
        <v>68</v>
      </c>
      <c r="H2" s="11" t="s">
        <v>92</v>
      </c>
      <c r="I2" s="11" t="s">
        <v>270</v>
      </c>
      <c r="J2" s="11">
        <v>57.6</v>
      </c>
      <c r="K2" s="11">
        <v>1.58</v>
      </c>
      <c r="L2" s="15">
        <v>23.0732254446403</v>
      </c>
      <c r="M2" s="11">
        <v>57.6</v>
      </c>
      <c r="N2" s="11">
        <v>147</v>
      </c>
      <c r="O2" s="11">
        <v>3493</v>
      </c>
      <c r="P2" s="11" t="s">
        <v>111</v>
      </c>
      <c r="Q2" s="11">
        <v>57.6</v>
      </c>
      <c r="R2" s="11">
        <v>1.58</v>
      </c>
      <c r="S2" s="11">
        <v>3493</v>
      </c>
      <c r="T2" s="19">
        <v>1.13741769252791</v>
      </c>
      <c r="U2" s="11">
        <v>3973</v>
      </c>
      <c r="V2" s="11">
        <v>216</v>
      </c>
      <c r="W2" s="11">
        <v>112</v>
      </c>
      <c r="X2" s="11">
        <v>105.8</v>
      </c>
      <c r="Y2" s="11" t="s">
        <v>96</v>
      </c>
      <c r="Z2" s="11" t="s">
        <v>121</v>
      </c>
      <c r="AA2" s="11" t="s">
        <v>271</v>
      </c>
      <c r="AB2" s="11">
        <v>30</v>
      </c>
      <c r="AC2" s="11">
        <v>27.5</v>
      </c>
      <c r="AD2" s="11">
        <v>25</v>
      </c>
      <c r="AE2" s="11">
        <v>5.58</v>
      </c>
      <c r="AF2" s="11">
        <v>23.1</v>
      </c>
      <c r="AG2" s="15">
        <v>1.28898</v>
      </c>
      <c r="AH2" s="11">
        <v>28.7</v>
      </c>
      <c r="AI2" s="11">
        <v>179</v>
      </c>
      <c r="AJ2" s="11">
        <v>7.99</v>
      </c>
      <c r="AK2" s="11">
        <v>27.7</v>
      </c>
      <c r="AL2" s="15">
        <v>2.21323</v>
      </c>
      <c r="AM2" s="30">
        <v>3</v>
      </c>
      <c r="AN2" s="11">
        <v>0.35</v>
      </c>
      <c r="AO2" s="11">
        <v>297</v>
      </c>
      <c r="AP2" s="35">
        <f t="shared" ref="AP2:AP18" si="0">AL2*1000*1000*X2</f>
        <v>234159734</v>
      </c>
      <c r="AQ2" s="35"/>
      <c r="AR2" s="11">
        <v>3973</v>
      </c>
      <c r="AS2" s="15">
        <v>1.13741769252791</v>
      </c>
      <c r="AT2" s="36">
        <f t="shared" ref="AT2:AT18" si="1">AL2*1000*1000*120</f>
        <v>265587600</v>
      </c>
      <c r="AU2" s="37">
        <v>2.2</v>
      </c>
      <c r="AV2" s="36">
        <f t="shared" ref="AV2:AV18" si="2">AL2*1000*1000*120</f>
        <v>265587600</v>
      </c>
      <c r="AW2" s="37"/>
      <c r="AX2" s="36">
        <f t="shared" ref="AX2:AX18" si="3">AL2*1000*1000*200</f>
        <v>442646000</v>
      </c>
      <c r="AY2" s="37"/>
      <c r="AZ2" s="36">
        <f t="shared" ref="AZ2:AZ18" si="4">AL2*1000*1000*250</f>
        <v>553307500</v>
      </c>
      <c r="BA2" s="37"/>
      <c r="BB2" s="36">
        <f t="shared" ref="BB2:BB18" si="5">AL2*1000*1000*300</f>
        <v>663969000</v>
      </c>
      <c r="BC2" s="37"/>
      <c r="BD2" s="44" t="s">
        <v>103</v>
      </c>
      <c r="BE2" s="48" t="s">
        <v>103</v>
      </c>
      <c r="BF2" s="49">
        <v>1.28898</v>
      </c>
      <c r="BG2" s="50"/>
      <c r="BH2" s="50"/>
    </row>
    <row r="3" spans="1:60">
      <c r="A3" s="12">
        <v>44781</v>
      </c>
      <c r="B3" s="13">
        <v>22080013</v>
      </c>
      <c r="C3" s="13" t="s">
        <v>272</v>
      </c>
      <c r="D3" s="13" t="s">
        <v>272</v>
      </c>
      <c r="E3" s="13" t="s">
        <v>91</v>
      </c>
      <c r="F3" s="13">
        <v>67</v>
      </c>
      <c r="G3" s="13">
        <v>67</v>
      </c>
      <c r="H3" s="13" t="s">
        <v>92</v>
      </c>
      <c r="I3" s="13" t="s">
        <v>273</v>
      </c>
      <c r="J3" s="13">
        <v>86</v>
      </c>
      <c r="K3" s="13">
        <v>1.71</v>
      </c>
      <c r="L3" s="16">
        <v>29.4107588659759</v>
      </c>
      <c r="M3" s="13">
        <v>86</v>
      </c>
      <c r="N3" s="13">
        <v>145</v>
      </c>
      <c r="O3" s="13">
        <v>5207</v>
      </c>
      <c r="P3" s="13" t="s">
        <v>91</v>
      </c>
      <c r="Q3" s="13">
        <v>86</v>
      </c>
      <c r="R3" s="13">
        <v>1.71</v>
      </c>
      <c r="S3" s="13">
        <v>5207</v>
      </c>
      <c r="T3" s="20">
        <v>2.00019204916459</v>
      </c>
      <c r="U3" s="13">
        <v>10415</v>
      </c>
      <c r="V3" s="13">
        <v>542</v>
      </c>
      <c r="W3" s="13">
        <v>89</v>
      </c>
      <c r="X3" s="13">
        <v>87.2</v>
      </c>
      <c r="Y3" s="13" t="s">
        <v>274</v>
      </c>
      <c r="Z3" s="13" t="s">
        <v>97</v>
      </c>
      <c r="AA3" s="13" t="s">
        <v>271</v>
      </c>
      <c r="AB3" s="13">
        <v>80</v>
      </c>
      <c r="AC3" s="13">
        <v>80</v>
      </c>
      <c r="AD3" s="13">
        <v>80</v>
      </c>
      <c r="AE3" s="13">
        <v>3.92</v>
      </c>
      <c r="AF3" s="13">
        <v>32.9</v>
      </c>
      <c r="AG3" s="16">
        <v>1.28968</v>
      </c>
      <c r="AH3" s="13">
        <v>49.1</v>
      </c>
      <c r="AI3" s="13">
        <v>178</v>
      </c>
      <c r="AJ3" s="13">
        <v>105</v>
      </c>
      <c r="AK3" s="13">
        <v>88</v>
      </c>
      <c r="AL3" s="16">
        <v>92.4</v>
      </c>
      <c r="AM3" s="31">
        <v>3.5</v>
      </c>
      <c r="AN3" s="13">
        <v>0.31</v>
      </c>
      <c r="AO3" s="13">
        <v>1990</v>
      </c>
      <c r="AP3" s="38">
        <f t="shared" si="0"/>
        <v>8057280000</v>
      </c>
      <c r="AQ3" s="38"/>
      <c r="AR3" s="13">
        <v>10415</v>
      </c>
      <c r="AS3" s="16">
        <v>2.00019204916459</v>
      </c>
      <c r="AT3" s="39">
        <f t="shared" si="1"/>
        <v>11088000000</v>
      </c>
      <c r="AV3" s="39">
        <f t="shared" si="2"/>
        <v>11088000000</v>
      </c>
      <c r="AX3" s="39">
        <f t="shared" si="3"/>
        <v>18480000000</v>
      </c>
      <c r="AZ3" s="40">
        <f t="shared" si="4"/>
        <v>23100000000</v>
      </c>
      <c r="BA3" s="41">
        <v>3.7</v>
      </c>
      <c r="BB3" s="40">
        <f t="shared" si="5"/>
        <v>27720000000</v>
      </c>
      <c r="BC3" s="41"/>
      <c r="BD3" s="7">
        <v>3.7</v>
      </c>
      <c r="BE3" s="51">
        <f t="shared" ref="BE3:BE18" si="6">BD3*S3/1</f>
        <v>19265.9</v>
      </c>
      <c r="BF3" s="52">
        <v>1.28968</v>
      </c>
      <c r="BG3" s="50"/>
      <c r="BH3" s="50"/>
    </row>
    <row r="4" spans="1:60">
      <c r="A4" s="12">
        <v>44761</v>
      </c>
      <c r="B4" s="13">
        <v>22070021</v>
      </c>
      <c r="C4" s="13" t="s">
        <v>275</v>
      </c>
      <c r="D4" s="13" t="s">
        <v>275</v>
      </c>
      <c r="E4" s="13" t="s">
        <v>91</v>
      </c>
      <c r="F4" s="13">
        <v>66</v>
      </c>
      <c r="G4" s="13">
        <v>66</v>
      </c>
      <c r="H4" s="13" t="s">
        <v>92</v>
      </c>
      <c r="I4" s="13" t="s">
        <v>276</v>
      </c>
      <c r="J4" s="13">
        <v>65</v>
      </c>
      <c r="K4" s="13">
        <v>1.8</v>
      </c>
      <c r="L4" s="16">
        <v>20.0617283950617</v>
      </c>
      <c r="M4" s="13">
        <v>65</v>
      </c>
      <c r="N4" s="13">
        <v>64</v>
      </c>
      <c r="O4" s="13">
        <v>4836</v>
      </c>
      <c r="P4" s="13" t="s">
        <v>91</v>
      </c>
      <c r="Q4" s="13">
        <v>65</v>
      </c>
      <c r="R4" s="13">
        <v>1.8</v>
      </c>
      <c r="S4" s="13">
        <v>4836</v>
      </c>
      <c r="T4" s="20">
        <v>1.00020678246485</v>
      </c>
      <c r="U4" s="13">
        <v>4837</v>
      </c>
      <c r="V4" s="13">
        <v>302</v>
      </c>
      <c r="W4" s="13">
        <v>59</v>
      </c>
      <c r="X4" s="13">
        <v>57</v>
      </c>
      <c r="Y4" s="13" t="s">
        <v>96</v>
      </c>
      <c r="Z4" s="13" t="s">
        <v>121</v>
      </c>
      <c r="AA4" s="13" t="s">
        <v>271</v>
      </c>
      <c r="AB4" s="13">
        <v>80</v>
      </c>
      <c r="AC4" s="13">
        <v>80</v>
      </c>
      <c r="AD4" s="13">
        <v>80</v>
      </c>
      <c r="AE4" s="13">
        <v>5.97</v>
      </c>
      <c r="AF4" s="13">
        <v>23.5</v>
      </c>
      <c r="AG4" s="16">
        <v>1.40295</v>
      </c>
      <c r="AH4" s="13">
        <v>43.8</v>
      </c>
      <c r="AI4" s="13">
        <v>217</v>
      </c>
      <c r="AJ4" s="13">
        <v>65.35</v>
      </c>
      <c r="AK4" s="13">
        <v>96.1</v>
      </c>
      <c r="AL4" s="16">
        <v>62.80135</v>
      </c>
      <c r="AM4" s="31">
        <v>3.8</v>
      </c>
      <c r="AN4" s="13">
        <v>0.37</v>
      </c>
      <c r="AO4" s="13">
        <v>1725</v>
      </c>
      <c r="AP4" s="38">
        <f t="shared" si="0"/>
        <v>3579676950</v>
      </c>
      <c r="AQ4" s="38"/>
      <c r="AR4" s="13">
        <v>4837</v>
      </c>
      <c r="AS4" s="16">
        <v>1.00020678246485</v>
      </c>
      <c r="AT4" s="39">
        <f t="shared" si="1"/>
        <v>7536162000</v>
      </c>
      <c r="AV4" s="39">
        <f t="shared" si="2"/>
        <v>7536162000</v>
      </c>
      <c r="AX4" s="39">
        <f t="shared" si="3"/>
        <v>12560270000</v>
      </c>
      <c r="AZ4" s="39">
        <f t="shared" si="4"/>
        <v>15700337500</v>
      </c>
      <c r="BB4" s="39">
        <f t="shared" si="5"/>
        <v>18840405000</v>
      </c>
      <c r="BC4" s="7">
        <v>4.8</v>
      </c>
      <c r="BD4" s="7">
        <v>4.8</v>
      </c>
      <c r="BE4" s="51">
        <f t="shared" si="6"/>
        <v>23212.8</v>
      </c>
      <c r="BF4" s="52">
        <v>1.40295</v>
      </c>
      <c r="BG4" s="50"/>
      <c r="BH4" s="50"/>
    </row>
    <row r="5" spans="1:60">
      <c r="A5" s="12">
        <v>44830</v>
      </c>
      <c r="B5" s="13">
        <v>22090041</v>
      </c>
      <c r="C5" s="13" t="s">
        <v>277</v>
      </c>
      <c r="D5" s="13" t="s">
        <v>277</v>
      </c>
      <c r="E5" s="13" t="s">
        <v>91</v>
      </c>
      <c r="F5" s="13">
        <v>72</v>
      </c>
      <c r="G5" s="13">
        <v>72</v>
      </c>
      <c r="H5" s="13" t="s">
        <v>92</v>
      </c>
      <c r="I5" s="13" t="s">
        <v>278</v>
      </c>
      <c r="J5" s="13">
        <v>102</v>
      </c>
      <c r="K5" s="13">
        <v>1.83</v>
      </c>
      <c r="L5" s="16">
        <v>30.4577622502911</v>
      </c>
      <c r="M5" s="13">
        <v>102</v>
      </c>
      <c r="N5" s="13">
        <v>98</v>
      </c>
      <c r="O5" s="13">
        <v>6136</v>
      </c>
      <c r="P5" s="13" t="s">
        <v>91</v>
      </c>
      <c r="Q5" s="13">
        <v>102</v>
      </c>
      <c r="R5" s="13">
        <v>1.83</v>
      </c>
      <c r="S5" s="13">
        <v>6136</v>
      </c>
      <c r="T5" s="20">
        <v>1.30019556714472</v>
      </c>
      <c r="U5" s="13">
        <v>7978</v>
      </c>
      <c r="V5" s="13">
        <v>403</v>
      </c>
      <c r="W5" s="13">
        <v>83</v>
      </c>
      <c r="X5" s="13">
        <v>82.5</v>
      </c>
      <c r="Y5" s="13" t="s">
        <v>96</v>
      </c>
      <c r="Z5" s="13" t="s">
        <v>97</v>
      </c>
      <c r="AA5" s="13" t="s">
        <v>271</v>
      </c>
      <c r="AB5" s="13">
        <v>80</v>
      </c>
      <c r="AC5" s="13">
        <v>85</v>
      </c>
      <c r="AD5" s="13">
        <v>90</v>
      </c>
      <c r="AE5" s="13">
        <v>4.56</v>
      </c>
      <c r="AF5" s="13">
        <v>32.3</v>
      </c>
      <c r="AG5" s="16">
        <v>1.47288</v>
      </c>
      <c r="AH5" s="13">
        <v>44.8</v>
      </c>
      <c r="AI5" s="13">
        <v>129</v>
      </c>
      <c r="AJ5" s="13">
        <v>115.71</v>
      </c>
      <c r="AK5" s="13">
        <v>98.7</v>
      </c>
      <c r="AL5" s="16">
        <v>114.20577</v>
      </c>
      <c r="AM5" s="31">
        <v>5.2</v>
      </c>
      <c r="AN5" s="13">
        <v>0.5</v>
      </c>
      <c r="AO5" s="13">
        <v>2979</v>
      </c>
      <c r="AP5" s="38">
        <f t="shared" si="0"/>
        <v>9421976025</v>
      </c>
      <c r="AQ5" s="38"/>
      <c r="AR5" s="13">
        <v>7978</v>
      </c>
      <c r="AS5" s="16">
        <v>1.30019556714472</v>
      </c>
      <c r="AT5" s="39">
        <f t="shared" si="1"/>
        <v>13704692400</v>
      </c>
      <c r="AV5" s="39">
        <f t="shared" si="2"/>
        <v>13704692400</v>
      </c>
      <c r="AX5" s="40">
        <f t="shared" si="3"/>
        <v>22841154000</v>
      </c>
      <c r="AY5" s="41">
        <v>2.5</v>
      </c>
      <c r="AZ5" s="40">
        <f t="shared" si="4"/>
        <v>28551442500</v>
      </c>
      <c r="BA5" s="41"/>
      <c r="BB5" s="40">
        <f t="shared" si="5"/>
        <v>34261731000</v>
      </c>
      <c r="BC5" s="41"/>
      <c r="BD5" s="7">
        <v>2.5</v>
      </c>
      <c r="BE5" s="51">
        <f t="shared" si="6"/>
        <v>15340</v>
      </c>
      <c r="BF5" s="52">
        <v>1.47288</v>
      </c>
      <c r="BG5" s="50"/>
      <c r="BH5" s="50"/>
    </row>
    <row r="6" spans="1:61">
      <c r="A6" s="12">
        <v>44823</v>
      </c>
      <c r="B6" s="13">
        <v>22090028</v>
      </c>
      <c r="C6" s="13" t="s">
        <v>279</v>
      </c>
      <c r="D6" s="13" t="s">
        <v>279</v>
      </c>
      <c r="E6" s="13" t="s">
        <v>91</v>
      </c>
      <c r="F6" s="13">
        <v>63</v>
      </c>
      <c r="G6" s="13">
        <v>63</v>
      </c>
      <c r="H6" s="13" t="s">
        <v>92</v>
      </c>
      <c r="I6" s="13" t="s">
        <v>280</v>
      </c>
      <c r="J6" s="13">
        <v>88</v>
      </c>
      <c r="K6" s="13">
        <v>1.92</v>
      </c>
      <c r="L6" s="16">
        <v>23.8715277777778</v>
      </c>
      <c r="M6" s="13">
        <v>88</v>
      </c>
      <c r="N6" s="13">
        <v>81</v>
      </c>
      <c r="O6" s="13">
        <v>6034</v>
      </c>
      <c r="P6" s="13" t="s">
        <v>91</v>
      </c>
      <c r="Q6" s="13">
        <v>88</v>
      </c>
      <c r="R6" s="13">
        <v>1.92</v>
      </c>
      <c r="S6" s="13">
        <v>6034</v>
      </c>
      <c r="T6" s="20">
        <v>1.00016572754392</v>
      </c>
      <c r="U6" s="13">
        <v>6035</v>
      </c>
      <c r="V6" s="13">
        <v>308</v>
      </c>
      <c r="W6" s="13">
        <v>62</v>
      </c>
      <c r="X6" s="13">
        <v>63.6</v>
      </c>
      <c r="Y6" s="13" t="s">
        <v>96</v>
      </c>
      <c r="Z6" s="13" t="s">
        <v>97</v>
      </c>
      <c r="AA6" s="13" t="s">
        <v>271</v>
      </c>
      <c r="AB6" s="13">
        <v>80</v>
      </c>
      <c r="AC6" s="13">
        <v>80</v>
      </c>
      <c r="AD6" s="13">
        <v>80</v>
      </c>
      <c r="AE6" s="13">
        <v>4.31</v>
      </c>
      <c r="AF6" s="13">
        <v>35.5</v>
      </c>
      <c r="AG6" s="16">
        <v>1.53005</v>
      </c>
      <c r="AH6" s="13">
        <v>33</v>
      </c>
      <c r="AI6" s="13">
        <v>215</v>
      </c>
      <c r="AJ6" s="13">
        <v>127.11</v>
      </c>
      <c r="AK6" s="13">
        <v>77.4</v>
      </c>
      <c r="AL6" s="16">
        <v>98.38314</v>
      </c>
      <c r="AM6" s="31">
        <v>4.6</v>
      </c>
      <c r="AN6" s="13">
        <v>0.44</v>
      </c>
      <c r="AO6" s="13">
        <v>104.5</v>
      </c>
      <c r="AP6" s="38">
        <f t="shared" si="0"/>
        <v>6257167704</v>
      </c>
      <c r="AQ6" s="38"/>
      <c r="AR6" s="13">
        <v>6035</v>
      </c>
      <c r="AS6" s="16">
        <v>1.00016572754392</v>
      </c>
      <c r="AT6" s="39">
        <f t="shared" si="1"/>
        <v>11805976800</v>
      </c>
      <c r="AV6" s="39">
        <f t="shared" si="2"/>
        <v>11805976800</v>
      </c>
      <c r="AX6" s="40">
        <f t="shared" si="3"/>
        <v>19676628000</v>
      </c>
      <c r="AY6" s="41"/>
      <c r="AZ6" s="40">
        <f t="shared" si="4"/>
        <v>24595785000</v>
      </c>
      <c r="BA6" s="41">
        <v>3.2</v>
      </c>
      <c r="BB6" s="40">
        <f t="shared" si="5"/>
        <v>29514942000</v>
      </c>
      <c r="BC6" s="41"/>
      <c r="BD6" s="7">
        <v>3.2</v>
      </c>
      <c r="BE6" s="51">
        <f t="shared" si="6"/>
        <v>19308.8</v>
      </c>
      <c r="BF6" s="52">
        <v>1.53005</v>
      </c>
      <c r="BG6" s="50">
        <v>19</v>
      </c>
      <c r="BH6" s="50" t="s">
        <v>281</v>
      </c>
      <c r="BI6" s="53">
        <f>MEDIAN(BE3:BE6)</f>
        <v>19287.35</v>
      </c>
    </row>
    <row r="7" spans="1:60">
      <c r="A7" s="12">
        <v>44725</v>
      </c>
      <c r="B7" s="13">
        <v>22060028</v>
      </c>
      <c r="C7" s="13" t="s">
        <v>282</v>
      </c>
      <c r="D7" s="13" t="s">
        <v>282</v>
      </c>
      <c r="E7" s="13" t="s">
        <v>91</v>
      </c>
      <c r="F7" s="13">
        <v>70</v>
      </c>
      <c r="G7" s="13">
        <v>70</v>
      </c>
      <c r="H7" s="13" t="s">
        <v>92</v>
      </c>
      <c r="I7" s="13" t="s">
        <v>283</v>
      </c>
      <c r="J7" s="13">
        <v>65</v>
      </c>
      <c r="K7" s="13">
        <v>1.62</v>
      </c>
      <c r="L7" s="16">
        <v>24.7675659198293</v>
      </c>
      <c r="M7" s="13">
        <v>65</v>
      </c>
      <c r="N7" s="13">
        <v>54</v>
      </c>
      <c r="O7" s="13">
        <v>4256</v>
      </c>
      <c r="P7" s="13" t="s">
        <v>91</v>
      </c>
      <c r="Q7" s="13">
        <v>65</v>
      </c>
      <c r="R7" s="13">
        <v>1.62</v>
      </c>
      <c r="S7" s="13">
        <v>4256</v>
      </c>
      <c r="T7" s="20">
        <v>1.00023496240601</v>
      </c>
      <c r="U7" s="13">
        <v>4257</v>
      </c>
      <c r="V7" s="13">
        <v>226</v>
      </c>
      <c r="W7" s="13">
        <v>35</v>
      </c>
      <c r="X7" s="13">
        <v>31.5</v>
      </c>
      <c r="Y7" s="13" t="s">
        <v>96</v>
      </c>
      <c r="Z7" s="13" t="s">
        <v>121</v>
      </c>
      <c r="AA7" s="13" t="s">
        <v>271</v>
      </c>
      <c r="AB7" s="13">
        <v>90</v>
      </c>
      <c r="AC7" s="13">
        <v>90</v>
      </c>
      <c r="AD7" s="13">
        <v>90</v>
      </c>
      <c r="AE7" s="13">
        <v>5.55</v>
      </c>
      <c r="AF7" s="13">
        <v>29</v>
      </c>
      <c r="AG7" s="16">
        <v>1.6095</v>
      </c>
      <c r="AH7" s="13">
        <v>10.5</v>
      </c>
      <c r="AI7" s="13">
        <v>230</v>
      </c>
      <c r="AJ7" s="13">
        <v>120.37</v>
      </c>
      <c r="AK7" s="13">
        <v>96.8</v>
      </c>
      <c r="AL7" s="16">
        <v>116.51816</v>
      </c>
      <c r="AM7" s="31">
        <v>4.8</v>
      </c>
      <c r="AN7" s="13">
        <v>0.52</v>
      </c>
      <c r="AO7" s="13">
        <v>2283</v>
      </c>
      <c r="AP7" s="38">
        <f t="shared" si="0"/>
        <v>3670322040</v>
      </c>
      <c r="AQ7" s="38"/>
      <c r="AR7" s="13">
        <v>4257</v>
      </c>
      <c r="AS7" s="16">
        <v>1.00023496240601</v>
      </c>
      <c r="AT7" s="39">
        <f t="shared" si="1"/>
        <v>13982179200</v>
      </c>
      <c r="AV7" s="39">
        <f t="shared" si="2"/>
        <v>13982179200</v>
      </c>
      <c r="AX7" s="40">
        <f t="shared" si="3"/>
        <v>23303632000</v>
      </c>
      <c r="AY7" s="41">
        <v>3.6</v>
      </c>
      <c r="AZ7" s="40">
        <f t="shared" si="4"/>
        <v>29129540000</v>
      </c>
      <c r="BA7" s="41"/>
      <c r="BB7" s="40">
        <f t="shared" si="5"/>
        <v>34955448000</v>
      </c>
      <c r="BC7" s="41"/>
      <c r="BD7" s="7">
        <v>3.6</v>
      </c>
      <c r="BE7" s="51">
        <f t="shared" si="6"/>
        <v>15321.6</v>
      </c>
      <c r="BF7" s="52">
        <v>1.6095</v>
      </c>
      <c r="BG7" s="50"/>
      <c r="BH7" s="50"/>
    </row>
    <row r="8" spans="1:60">
      <c r="A8" s="12">
        <v>44725</v>
      </c>
      <c r="B8" s="13">
        <v>22060027</v>
      </c>
      <c r="C8" s="13" t="s">
        <v>284</v>
      </c>
      <c r="D8" s="13" t="s">
        <v>284</v>
      </c>
      <c r="E8" s="13" t="s">
        <v>111</v>
      </c>
      <c r="F8" s="13">
        <v>40</v>
      </c>
      <c r="G8" s="13">
        <v>40</v>
      </c>
      <c r="H8" s="13" t="s">
        <v>92</v>
      </c>
      <c r="I8" s="13" t="s">
        <v>285</v>
      </c>
      <c r="J8" s="13">
        <v>75</v>
      </c>
      <c r="K8" s="13">
        <v>1.75</v>
      </c>
      <c r="L8" s="16">
        <v>24.4897959183673</v>
      </c>
      <c r="M8" s="13">
        <v>75</v>
      </c>
      <c r="N8" s="13">
        <v>61</v>
      </c>
      <c r="O8" s="13">
        <v>4573</v>
      </c>
      <c r="P8" s="13" t="s">
        <v>111</v>
      </c>
      <c r="Q8" s="13">
        <v>75</v>
      </c>
      <c r="R8" s="13">
        <v>1.75</v>
      </c>
      <c r="S8" s="13">
        <v>4573</v>
      </c>
      <c r="T8" s="20">
        <v>1.00021867483053</v>
      </c>
      <c r="U8" s="13">
        <v>4574</v>
      </c>
      <c r="V8" s="13">
        <v>231</v>
      </c>
      <c r="W8" s="13">
        <v>49</v>
      </c>
      <c r="X8" s="13">
        <v>47.6</v>
      </c>
      <c r="Y8" s="13" t="s">
        <v>96</v>
      </c>
      <c r="Z8" s="13" t="s">
        <v>97</v>
      </c>
      <c r="AA8" s="13" t="s">
        <v>271</v>
      </c>
      <c r="AB8" s="13">
        <v>80</v>
      </c>
      <c r="AC8" s="13">
        <v>80</v>
      </c>
      <c r="AD8" s="13">
        <v>80</v>
      </c>
      <c r="AE8" s="13">
        <v>4.75</v>
      </c>
      <c r="AF8" s="13">
        <v>38.1</v>
      </c>
      <c r="AG8" s="16">
        <v>1.80975</v>
      </c>
      <c r="AH8" s="13">
        <v>43.3</v>
      </c>
      <c r="AI8" s="13">
        <v>308</v>
      </c>
      <c r="AJ8" s="13">
        <v>120.73</v>
      </c>
      <c r="AK8" s="13">
        <v>96.8</v>
      </c>
      <c r="AL8" s="16">
        <v>116.86664</v>
      </c>
      <c r="AM8" s="31">
        <v>2.4</v>
      </c>
      <c r="AN8" s="13">
        <v>0.26</v>
      </c>
      <c r="AO8" s="13">
        <v>4124</v>
      </c>
      <c r="AP8" s="38">
        <f t="shared" si="0"/>
        <v>5562852064</v>
      </c>
      <c r="AQ8" s="38"/>
      <c r="AR8" s="13">
        <v>4574</v>
      </c>
      <c r="AS8" s="16">
        <v>1.00021867483053</v>
      </c>
      <c r="AT8" s="39">
        <f t="shared" si="1"/>
        <v>14023996800</v>
      </c>
      <c r="AV8" s="39">
        <f t="shared" si="2"/>
        <v>14023996800</v>
      </c>
      <c r="AX8" s="40">
        <f t="shared" si="3"/>
        <v>23373328000</v>
      </c>
      <c r="AY8" s="41">
        <v>3.4</v>
      </c>
      <c r="AZ8" s="40">
        <f t="shared" si="4"/>
        <v>29216660000</v>
      </c>
      <c r="BA8" s="41"/>
      <c r="BB8" s="40">
        <f t="shared" si="5"/>
        <v>35059992000</v>
      </c>
      <c r="BC8" s="41"/>
      <c r="BD8" s="7">
        <v>3.4</v>
      </c>
      <c r="BE8" s="51">
        <f t="shared" si="6"/>
        <v>15548.2</v>
      </c>
      <c r="BF8" s="52">
        <v>1.80975</v>
      </c>
      <c r="BG8" s="50"/>
      <c r="BH8" s="50"/>
    </row>
    <row r="9" spans="1:60">
      <c r="A9" s="12">
        <v>44837</v>
      </c>
      <c r="B9" s="13">
        <v>22100002</v>
      </c>
      <c r="C9" s="13" t="s">
        <v>286</v>
      </c>
      <c r="D9" s="13" t="s">
        <v>287</v>
      </c>
      <c r="E9" s="13" t="s">
        <v>111</v>
      </c>
      <c r="F9" s="13">
        <v>46</v>
      </c>
      <c r="G9" s="13">
        <v>10</v>
      </c>
      <c r="H9" s="13" t="s">
        <v>124</v>
      </c>
      <c r="I9" s="13" t="s">
        <v>288</v>
      </c>
      <c r="J9" s="13">
        <v>50</v>
      </c>
      <c r="K9" s="13">
        <v>1.59</v>
      </c>
      <c r="L9" s="16">
        <v>19.7776986669831</v>
      </c>
      <c r="M9" s="13">
        <v>25</v>
      </c>
      <c r="N9" s="13">
        <v>75</v>
      </c>
      <c r="O9" s="13">
        <v>3269</v>
      </c>
      <c r="P9" s="13" t="s">
        <v>111</v>
      </c>
      <c r="Q9" s="13">
        <v>50</v>
      </c>
      <c r="R9" s="13">
        <v>1.59</v>
      </c>
      <c r="S9" s="13">
        <v>3269</v>
      </c>
      <c r="T9" s="20">
        <v>1.50015295197308</v>
      </c>
      <c r="U9" s="13">
        <v>4904</v>
      </c>
      <c r="V9" s="13">
        <v>263</v>
      </c>
      <c r="W9" s="13">
        <v>53</v>
      </c>
      <c r="X9" s="13">
        <v>51.3</v>
      </c>
      <c r="Y9" s="13" t="s">
        <v>96</v>
      </c>
      <c r="Z9" s="13" t="s">
        <v>121</v>
      </c>
      <c r="AA9" s="13" t="s">
        <v>271</v>
      </c>
      <c r="AB9" s="13">
        <v>59.4</v>
      </c>
      <c r="AC9" s="13">
        <v>69.7</v>
      </c>
      <c r="AD9" s="13">
        <v>80</v>
      </c>
      <c r="AE9" s="13">
        <v>4.08</v>
      </c>
      <c r="AF9" s="13">
        <v>46.1</v>
      </c>
      <c r="AG9" s="16">
        <v>1.88088</v>
      </c>
      <c r="AH9" s="13">
        <v>35.2</v>
      </c>
      <c r="AI9" s="13">
        <v>124</v>
      </c>
      <c r="AJ9" s="13">
        <v>63.84</v>
      </c>
      <c r="AK9" s="13">
        <v>94.2</v>
      </c>
      <c r="AL9" s="16">
        <v>60.13728</v>
      </c>
      <c r="AM9" s="31">
        <v>3.5</v>
      </c>
      <c r="AN9" s="13">
        <v>0.38</v>
      </c>
      <c r="AO9" s="13">
        <v>823</v>
      </c>
      <c r="AP9" s="38">
        <f t="shared" si="0"/>
        <v>3085042464</v>
      </c>
      <c r="AQ9" s="38"/>
      <c r="AR9" s="13">
        <v>4904</v>
      </c>
      <c r="AS9" s="16">
        <v>1.50015295197308</v>
      </c>
      <c r="AT9" s="39">
        <f t="shared" si="1"/>
        <v>7216473600</v>
      </c>
      <c r="AV9" s="39">
        <f t="shared" si="2"/>
        <v>7216473600</v>
      </c>
      <c r="AX9" s="39">
        <f t="shared" si="3"/>
        <v>12027456000</v>
      </c>
      <c r="AZ9" s="39">
        <f t="shared" si="4"/>
        <v>15034320000</v>
      </c>
      <c r="BB9" s="39">
        <f t="shared" si="5"/>
        <v>18041184000</v>
      </c>
      <c r="BC9" s="7">
        <v>5</v>
      </c>
      <c r="BD9" s="7">
        <v>5</v>
      </c>
      <c r="BE9" s="51">
        <f t="shared" si="6"/>
        <v>16345</v>
      </c>
      <c r="BF9" s="52">
        <v>1.88088</v>
      </c>
      <c r="BG9" s="50"/>
      <c r="BH9" s="50"/>
    </row>
    <row r="10" spans="1:61">
      <c r="A10" s="12">
        <v>44719</v>
      </c>
      <c r="B10" s="13">
        <v>22060016</v>
      </c>
      <c r="C10" s="13" t="s">
        <v>289</v>
      </c>
      <c r="D10" s="13" t="s">
        <v>289</v>
      </c>
      <c r="E10" s="13" t="s">
        <v>91</v>
      </c>
      <c r="F10" s="13">
        <v>70</v>
      </c>
      <c r="G10" s="13">
        <v>70</v>
      </c>
      <c r="H10" s="13" t="s">
        <v>92</v>
      </c>
      <c r="I10" s="13" t="s">
        <v>273</v>
      </c>
      <c r="J10" s="13">
        <v>72</v>
      </c>
      <c r="K10" s="13">
        <v>1.74</v>
      </c>
      <c r="L10" s="16">
        <v>23.7812128418549</v>
      </c>
      <c r="M10" s="13">
        <v>72</v>
      </c>
      <c r="N10" s="13">
        <v>141</v>
      </c>
      <c r="O10" s="13">
        <v>4855</v>
      </c>
      <c r="P10" s="13" t="s">
        <v>91</v>
      </c>
      <c r="Q10" s="13">
        <v>72</v>
      </c>
      <c r="R10" s="13">
        <v>1.74</v>
      </c>
      <c r="S10" s="13">
        <v>4855</v>
      </c>
      <c r="T10" s="20">
        <v>1.50010298661174</v>
      </c>
      <c r="U10" s="13">
        <v>7283</v>
      </c>
      <c r="V10" s="13">
        <v>370</v>
      </c>
      <c r="W10" s="13">
        <v>125</v>
      </c>
      <c r="X10" s="13">
        <v>123.3</v>
      </c>
      <c r="Y10" s="13" t="s">
        <v>96</v>
      </c>
      <c r="Z10" s="13" t="s">
        <v>121</v>
      </c>
      <c r="AA10" s="13" t="s">
        <v>122</v>
      </c>
      <c r="AB10" s="13">
        <v>52</v>
      </c>
      <c r="AC10" s="13">
        <v>56</v>
      </c>
      <c r="AD10" s="13">
        <v>55</v>
      </c>
      <c r="AE10" s="13">
        <v>5.47</v>
      </c>
      <c r="AF10" s="13">
        <v>34.5</v>
      </c>
      <c r="AG10" s="16">
        <v>1.88715</v>
      </c>
      <c r="AH10" s="13">
        <v>41.8</v>
      </c>
      <c r="AI10" s="13">
        <v>245</v>
      </c>
      <c r="AJ10" s="13">
        <v>105.83</v>
      </c>
      <c r="AK10" s="13">
        <v>84.3</v>
      </c>
      <c r="AL10" s="16">
        <v>89.21469</v>
      </c>
      <c r="AM10" s="31">
        <v>2.3</v>
      </c>
      <c r="AN10" s="13">
        <v>0.23</v>
      </c>
      <c r="AO10" s="13">
        <v>2056</v>
      </c>
      <c r="AP10" s="38">
        <f t="shared" si="0"/>
        <v>11000171277</v>
      </c>
      <c r="AQ10" s="38"/>
      <c r="AR10" s="13">
        <v>7283</v>
      </c>
      <c r="AS10" s="16">
        <v>1.50010298661174</v>
      </c>
      <c r="AT10" s="39">
        <f t="shared" si="1"/>
        <v>10705762800</v>
      </c>
      <c r="AV10" s="39">
        <f t="shared" si="2"/>
        <v>10705762800</v>
      </c>
      <c r="AX10" s="39">
        <f t="shared" si="3"/>
        <v>17842938000</v>
      </c>
      <c r="AZ10" s="40">
        <f t="shared" si="4"/>
        <v>22303672500</v>
      </c>
      <c r="BA10" s="41">
        <v>3.9</v>
      </c>
      <c r="BB10" s="40">
        <f t="shared" si="5"/>
        <v>26764407000</v>
      </c>
      <c r="BC10" s="41"/>
      <c r="BD10" s="2">
        <v>3.9</v>
      </c>
      <c r="BE10" s="51">
        <f t="shared" si="6"/>
        <v>18934.5</v>
      </c>
      <c r="BF10" s="52">
        <v>1.88715</v>
      </c>
      <c r="BG10" s="50">
        <v>15.9</v>
      </c>
      <c r="BH10" s="50" t="s">
        <v>290</v>
      </c>
      <c r="BI10" s="53">
        <f>MEDIAN(BE7:BE10)</f>
        <v>15946.6</v>
      </c>
    </row>
    <row r="11" spans="1:60">
      <c r="A11" s="12">
        <v>44823</v>
      </c>
      <c r="B11" s="13">
        <v>22090033</v>
      </c>
      <c r="C11" s="13" t="s">
        <v>291</v>
      </c>
      <c r="D11" s="13" t="s">
        <v>291</v>
      </c>
      <c r="E11" s="13" t="s">
        <v>91</v>
      </c>
      <c r="F11" s="13">
        <v>85</v>
      </c>
      <c r="G11" s="13">
        <v>85</v>
      </c>
      <c r="H11" s="13" t="s">
        <v>92</v>
      </c>
      <c r="I11" s="13" t="s">
        <v>280</v>
      </c>
      <c r="J11" s="13">
        <v>71</v>
      </c>
      <c r="K11" s="13">
        <v>1.78</v>
      </c>
      <c r="L11" s="16">
        <v>22.4087867693473</v>
      </c>
      <c r="M11" s="13">
        <v>71</v>
      </c>
      <c r="N11" s="13">
        <v>67</v>
      </c>
      <c r="O11" s="13">
        <v>4959</v>
      </c>
      <c r="P11" s="13" t="s">
        <v>91</v>
      </c>
      <c r="Q11" s="13">
        <v>71</v>
      </c>
      <c r="R11" s="13">
        <v>1.78</v>
      </c>
      <c r="S11" s="13">
        <v>4959</v>
      </c>
      <c r="T11" s="20">
        <v>1.00020165355919</v>
      </c>
      <c r="U11" s="13">
        <v>4960</v>
      </c>
      <c r="V11" s="13">
        <v>257</v>
      </c>
      <c r="W11" s="13">
        <v>53</v>
      </c>
      <c r="X11" s="13">
        <v>51.4</v>
      </c>
      <c r="Y11" s="13" t="s">
        <v>96</v>
      </c>
      <c r="Z11" s="13" t="s">
        <v>121</v>
      </c>
      <c r="AA11" s="13" t="s">
        <v>271</v>
      </c>
      <c r="AB11" s="13">
        <v>80</v>
      </c>
      <c r="AC11" s="13">
        <v>80</v>
      </c>
      <c r="AD11" s="13">
        <v>80</v>
      </c>
      <c r="AE11" s="13">
        <v>6.63</v>
      </c>
      <c r="AF11" s="13">
        <v>32.7</v>
      </c>
      <c r="AG11" s="16">
        <v>2.16801</v>
      </c>
      <c r="AH11" s="13">
        <v>38.9</v>
      </c>
      <c r="AI11" s="13">
        <v>131</v>
      </c>
      <c r="AJ11" s="13">
        <v>180.34</v>
      </c>
      <c r="AK11" s="13">
        <v>85.5</v>
      </c>
      <c r="AL11" s="16">
        <v>154.1907</v>
      </c>
      <c r="AM11" s="31">
        <v>1.7</v>
      </c>
      <c r="AN11" s="13">
        <v>0.17</v>
      </c>
      <c r="AO11" s="13">
        <v>2155</v>
      </c>
      <c r="AP11" s="38">
        <f t="shared" si="0"/>
        <v>7925401980</v>
      </c>
      <c r="AQ11" s="38"/>
      <c r="AR11" s="13">
        <v>4960</v>
      </c>
      <c r="AS11" s="16">
        <v>1.00020165355919</v>
      </c>
      <c r="AT11" s="39">
        <f t="shared" si="1"/>
        <v>18502884000</v>
      </c>
      <c r="AV11" s="39">
        <f t="shared" si="2"/>
        <v>18502884000</v>
      </c>
      <c r="AX11" s="39">
        <f t="shared" si="3"/>
        <v>30838140000</v>
      </c>
      <c r="AZ11" s="40">
        <f t="shared" si="4"/>
        <v>38547675000</v>
      </c>
      <c r="BA11" s="41">
        <v>3.9</v>
      </c>
      <c r="BB11" s="40">
        <f t="shared" si="5"/>
        <v>46257210000</v>
      </c>
      <c r="BC11" s="41"/>
      <c r="BD11" s="7">
        <v>3.9</v>
      </c>
      <c r="BE11" s="51">
        <f t="shared" si="6"/>
        <v>19340.1</v>
      </c>
      <c r="BF11" s="52">
        <v>2.16801</v>
      </c>
      <c r="BG11" s="50"/>
      <c r="BH11" s="50"/>
    </row>
    <row r="12" spans="1:60">
      <c r="A12" s="12">
        <v>44809</v>
      </c>
      <c r="B12" s="13">
        <v>22090008</v>
      </c>
      <c r="C12" s="13" t="s">
        <v>292</v>
      </c>
      <c r="D12" s="13" t="s">
        <v>292</v>
      </c>
      <c r="E12" s="13" t="s">
        <v>111</v>
      </c>
      <c r="F12" s="13">
        <v>31</v>
      </c>
      <c r="G12" s="13">
        <v>31</v>
      </c>
      <c r="H12" s="13" t="s">
        <v>92</v>
      </c>
      <c r="I12" s="13" t="s">
        <v>293</v>
      </c>
      <c r="J12" s="13">
        <v>56</v>
      </c>
      <c r="K12" s="13">
        <v>1.55</v>
      </c>
      <c r="L12" s="16">
        <v>23.309053069719</v>
      </c>
      <c r="M12" s="13">
        <v>56</v>
      </c>
      <c r="N12" s="13">
        <v>65</v>
      </c>
      <c r="O12" s="13">
        <v>3362</v>
      </c>
      <c r="P12" s="13" t="s">
        <v>111</v>
      </c>
      <c r="Q12" s="13">
        <v>56</v>
      </c>
      <c r="R12" s="13">
        <v>1.55</v>
      </c>
      <c r="S12" s="13">
        <v>3362</v>
      </c>
      <c r="T12" s="20">
        <v>1.20017846519929</v>
      </c>
      <c r="U12" s="13">
        <v>4035</v>
      </c>
      <c r="V12" s="13">
        <v>244</v>
      </c>
      <c r="W12" s="13">
        <v>53</v>
      </c>
      <c r="X12" s="13">
        <v>51.6</v>
      </c>
      <c r="Y12" s="13" t="s">
        <v>96</v>
      </c>
      <c r="Z12" s="13" t="s">
        <v>121</v>
      </c>
      <c r="AA12" s="13" t="s">
        <v>271</v>
      </c>
      <c r="AB12" s="13">
        <v>80</v>
      </c>
      <c r="AC12" s="13">
        <v>80</v>
      </c>
      <c r="AD12" s="13">
        <v>80</v>
      </c>
      <c r="AE12" s="13">
        <v>7.2</v>
      </c>
      <c r="AF12" s="13">
        <v>31.4</v>
      </c>
      <c r="AG12" s="16">
        <v>2.2608</v>
      </c>
      <c r="AH12" s="13">
        <v>38</v>
      </c>
      <c r="AI12" s="13">
        <v>257</v>
      </c>
      <c r="AJ12" s="13">
        <v>123.6</v>
      </c>
      <c r="AK12" s="13">
        <v>98.6</v>
      </c>
      <c r="AL12" s="16">
        <v>121.8696</v>
      </c>
      <c r="AM12" s="31">
        <v>2.6</v>
      </c>
      <c r="AN12" s="13">
        <v>0.28</v>
      </c>
      <c r="AO12" s="13">
        <v>2025</v>
      </c>
      <c r="AP12" s="38">
        <f t="shared" si="0"/>
        <v>6288471360</v>
      </c>
      <c r="AQ12" s="38"/>
      <c r="AR12" s="13">
        <v>4035</v>
      </c>
      <c r="AS12" s="16">
        <v>1.20017846519929</v>
      </c>
      <c r="AT12" s="39">
        <f t="shared" si="1"/>
        <v>14624352000</v>
      </c>
      <c r="AV12" s="39">
        <f t="shared" si="2"/>
        <v>14624352000</v>
      </c>
      <c r="AX12" s="40">
        <f t="shared" si="3"/>
        <v>24373920000</v>
      </c>
      <c r="AY12" s="41">
        <v>4.6</v>
      </c>
      <c r="AZ12" s="40">
        <f t="shared" si="4"/>
        <v>30467400000</v>
      </c>
      <c r="BA12" s="41"/>
      <c r="BB12" s="40">
        <f t="shared" si="5"/>
        <v>36560880000</v>
      </c>
      <c r="BC12" s="41"/>
      <c r="BD12" s="7">
        <v>4.6</v>
      </c>
      <c r="BE12" s="51">
        <f t="shared" si="6"/>
        <v>15465.2</v>
      </c>
      <c r="BF12" s="52">
        <v>2.2608</v>
      </c>
      <c r="BG12" s="50"/>
      <c r="BH12" s="50"/>
    </row>
    <row r="13" spans="1:60">
      <c r="A13" s="12">
        <v>44677</v>
      </c>
      <c r="B13" s="13">
        <v>22040074</v>
      </c>
      <c r="C13" s="13" t="s">
        <v>294</v>
      </c>
      <c r="D13" s="13" t="s">
        <v>294</v>
      </c>
      <c r="E13" s="13" t="s">
        <v>91</v>
      </c>
      <c r="F13" s="13">
        <v>57</v>
      </c>
      <c r="G13" s="13">
        <v>57</v>
      </c>
      <c r="H13" s="13" t="s">
        <v>92</v>
      </c>
      <c r="I13" s="13" t="s">
        <v>295</v>
      </c>
      <c r="J13" s="13">
        <v>74</v>
      </c>
      <c r="K13" s="13">
        <v>1.67</v>
      </c>
      <c r="L13" s="16">
        <v>26.5337588296461</v>
      </c>
      <c r="M13" s="13">
        <v>74</v>
      </c>
      <c r="N13" s="13">
        <v>88</v>
      </c>
      <c r="O13" s="13">
        <v>4645</v>
      </c>
      <c r="P13" s="13" t="s">
        <v>91</v>
      </c>
      <c r="Q13" s="13">
        <v>74</v>
      </c>
      <c r="R13" s="13">
        <v>1.67</v>
      </c>
      <c r="S13" s="13">
        <v>4645</v>
      </c>
      <c r="T13" s="20">
        <v>1.01097954790097</v>
      </c>
      <c r="U13" s="13">
        <v>4696</v>
      </c>
      <c r="V13" s="13">
        <v>253</v>
      </c>
      <c r="W13" s="13">
        <v>77</v>
      </c>
      <c r="X13" s="13">
        <v>73.5</v>
      </c>
      <c r="Y13" s="13" t="s">
        <v>96</v>
      </c>
      <c r="Z13" s="13" t="s">
        <v>121</v>
      </c>
      <c r="AA13" s="13" t="s">
        <v>122</v>
      </c>
      <c r="AB13" s="13">
        <v>55</v>
      </c>
      <c r="AC13" s="13">
        <v>57</v>
      </c>
      <c r="AD13" s="13">
        <v>60</v>
      </c>
      <c r="AE13" s="13">
        <v>5.8</v>
      </c>
      <c r="AF13" s="13">
        <v>39.5</v>
      </c>
      <c r="AG13" s="16">
        <v>2.291</v>
      </c>
      <c r="AH13" s="13">
        <v>47.3</v>
      </c>
      <c r="AI13" s="13">
        <v>238</v>
      </c>
      <c r="AJ13" s="13">
        <v>91.92</v>
      </c>
      <c r="AK13" s="13">
        <v>88.6</v>
      </c>
      <c r="AL13" s="16">
        <v>81.44112</v>
      </c>
      <c r="AM13" s="31">
        <v>3.7</v>
      </c>
      <c r="AN13" s="13">
        <v>0.49</v>
      </c>
      <c r="AO13" s="13">
        <v>3039</v>
      </c>
      <c r="AP13" s="38">
        <f t="shared" si="0"/>
        <v>5985922320</v>
      </c>
      <c r="AQ13" s="38"/>
      <c r="AR13" s="13">
        <v>4696</v>
      </c>
      <c r="AS13" s="16">
        <v>1.01097954790097</v>
      </c>
      <c r="AT13" s="39">
        <f t="shared" si="1"/>
        <v>9772934400</v>
      </c>
      <c r="AV13" s="39">
        <f t="shared" si="2"/>
        <v>9772934400</v>
      </c>
      <c r="AX13" s="39">
        <f t="shared" si="3"/>
        <v>16288224000</v>
      </c>
      <c r="AZ13" s="40">
        <f t="shared" si="4"/>
        <v>20360280000</v>
      </c>
      <c r="BA13" s="41">
        <v>4.1</v>
      </c>
      <c r="BB13" s="40">
        <f t="shared" si="5"/>
        <v>24432336000</v>
      </c>
      <c r="BC13" s="41"/>
      <c r="BD13" s="2">
        <v>4.1</v>
      </c>
      <c r="BE13" s="51">
        <f t="shared" si="6"/>
        <v>19044.5</v>
      </c>
      <c r="BF13" s="52">
        <v>2.291</v>
      </c>
      <c r="BG13" s="50"/>
      <c r="BH13" s="50"/>
    </row>
    <row r="14" spans="1:61">
      <c r="A14" s="12">
        <v>44739</v>
      </c>
      <c r="B14" s="13">
        <v>22060051</v>
      </c>
      <c r="C14" s="13" t="s">
        <v>296</v>
      </c>
      <c r="D14" s="13" t="s">
        <v>296</v>
      </c>
      <c r="E14" s="13" t="s">
        <v>111</v>
      </c>
      <c r="F14" s="13">
        <v>68</v>
      </c>
      <c r="G14" s="13">
        <v>68</v>
      </c>
      <c r="H14" s="13" t="s">
        <v>92</v>
      </c>
      <c r="I14" s="13" t="s">
        <v>273</v>
      </c>
      <c r="J14" s="13">
        <v>78</v>
      </c>
      <c r="K14" s="13">
        <v>1.54</v>
      </c>
      <c r="L14" s="16">
        <v>32.8891887333446</v>
      </c>
      <c r="M14" s="13">
        <v>78</v>
      </c>
      <c r="N14" s="13">
        <v>85</v>
      </c>
      <c r="O14" s="13">
        <v>4064</v>
      </c>
      <c r="P14" s="13" t="s">
        <v>111</v>
      </c>
      <c r="Q14" s="13">
        <v>78</v>
      </c>
      <c r="R14" s="13">
        <v>1.54</v>
      </c>
      <c r="S14" s="13">
        <v>4064</v>
      </c>
      <c r="T14" s="20">
        <v>1.50024606299213</v>
      </c>
      <c r="U14" s="13">
        <v>6097</v>
      </c>
      <c r="V14" s="13">
        <v>366</v>
      </c>
      <c r="W14" s="13">
        <v>59</v>
      </c>
      <c r="X14" s="13">
        <v>57.8</v>
      </c>
      <c r="Y14" s="13" t="s">
        <v>96</v>
      </c>
      <c r="Z14" s="13" t="s">
        <v>121</v>
      </c>
      <c r="AA14" s="13" t="s">
        <v>271</v>
      </c>
      <c r="AB14" s="13">
        <v>78.1</v>
      </c>
      <c r="AC14" s="13">
        <v>79</v>
      </c>
      <c r="AD14" s="13">
        <v>80</v>
      </c>
      <c r="AE14" s="13">
        <v>5.51</v>
      </c>
      <c r="AF14" s="13">
        <v>43</v>
      </c>
      <c r="AG14" s="16">
        <v>2.3693</v>
      </c>
      <c r="AH14" s="13">
        <v>39.8</v>
      </c>
      <c r="AI14" s="13">
        <v>257</v>
      </c>
      <c r="AJ14" s="13">
        <v>132.35</v>
      </c>
      <c r="AK14" s="13">
        <v>92.7</v>
      </c>
      <c r="AL14" s="16">
        <v>122.68845</v>
      </c>
      <c r="AM14" s="31">
        <v>2</v>
      </c>
      <c r="AN14" s="13">
        <v>0.2</v>
      </c>
      <c r="AO14" s="13">
        <v>3354</v>
      </c>
      <c r="AP14" s="38">
        <f t="shared" si="0"/>
        <v>7091392410</v>
      </c>
      <c r="AQ14" s="38"/>
      <c r="AR14" s="13">
        <v>6097</v>
      </c>
      <c r="AS14" s="16">
        <v>1.50024606299213</v>
      </c>
      <c r="AT14" s="39">
        <f t="shared" si="1"/>
        <v>14722614000</v>
      </c>
      <c r="AV14" s="39">
        <f t="shared" si="2"/>
        <v>14722614000</v>
      </c>
      <c r="AX14" s="40">
        <f t="shared" si="3"/>
        <v>24537690000</v>
      </c>
      <c r="AY14" s="41">
        <v>3.8</v>
      </c>
      <c r="AZ14" s="40">
        <f t="shared" si="4"/>
        <v>30672112500</v>
      </c>
      <c r="BA14" s="41"/>
      <c r="BB14" s="40">
        <f t="shared" si="5"/>
        <v>36806535000</v>
      </c>
      <c r="BC14" s="41"/>
      <c r="BD14" s="7">
        <v>3.8</v>
      </c>
      <c r="BE14" s="51">
        <f t="shared" si="6"/>
        <v>15443.2</v>
      </c>
      <c r="BF14" s="52">
        <v>2.3693</v>
      </c>
      <c r="BG14" s="50">
        <v>17.2</v>
      </c>
      <c r="BH14" s="50" t="s">
        <v>297</v>
      </c>
      <c r="BI14" s="53">
        <f>MEDIAN(BE11:BE14)</f>
        <v>17254.85</v>
      </c>
    </row>
    <row r="15" spans="1:60">
      <c r="A15" s="12">
        <v>44823</v>
      </c>
      <c r="B15" s="13">
        <v>22090027</v>
      </c>
      <c r="C15" s="13" t="s">
        <v>298</v>
      </c>
      <c r="D15" s="13" t="s">
        <v>299</v>
      </c>
      <c r="E15" s="13" t="s">
        <v>91</v>
      </c>
      <c r="F15" s="13">
        <v>40</v>
      </c>
      <c r="G15" s="13">
        <v>73</v>
      </c>
      <c r="H15" s="13" t="s">
        <v>124</v>
      </c>
      <c r="I15" s="13" t="s">
        <v>280</v>
      </c>
      <c r="J15" s="13">
        <v>86</v>
      </c>
      <c r="K15" s="13">
        <v>1.69</v>
      </c>
      <c r="L15" s="16">
        <v>30.1109905115367</v>
      </c>
      <c r="M15" s="13">
        <v>63</v>
      </c>
      <c r="N15" s="13">
        <v>117</v>
      </c>
      <c r="O15" s="13">
        <v>5143</v>
      </c>
      <c r="P15" s="13" t="s">
        <v>91</v>
      </c>
      <c r="Q15" s="13">
        <v>86</v>
      </c>
      <c r="R15" s="13">
        <v>1.69</v>
      </c>
      <c r="S15" s="13">
        <v>5143</v>
      </c>
      <c r="T15" s="20">
        <v>1.30001944390434</v>
      </c>
      <c r="U15" s="13">
        <v>6686</v>
      </c>
      <c r="V15" s="13">
        <v>395</v>
      </c>
      <c r="W15" s="13">
        <v>93</v>
      </c>
      <c r="X15" s="13">
        <v>88.2</v>
      </c>
      <c r="Y15" s="13" t="s">
        <v>96</v>
      </c>
      <c r="Z15" s="13" t="s">
        <v>121</v>
      </c>
      <c r="AA15" s="13" t="s">
        <v>122</v>
      </c>
      <c r="AB15" s="13">
        <v>50</v>
      </c>
      <c r="AC15" s="13">
        <v>58.5</v>
      </c>
      <c r="AD15" s="13">
        <v>67</v>
      </c>
      <c r="AE15" s="13">
        <v>5.95</v>
      </c>
      <c r="AF15" s="13">
        <v>45.9</v>
      </c>
      <c r="AG15" s="16">
        <v>2.73105</v>
      </c>
      <c r="AH15" s="13">
        <v>44.1</v>
      </c>
      <c r="AI15" s="13">
        <v>256</v>
      </c>
      <c r="AJ15" s="13">
        <v>130.01</v>
      </c>
      <c r="AK15" s="13">
        <v>78.2</v>
      </c>
      <c r="AL15" s="16">
        <v>101.66782</v>
      </c>
      <c r="AM15" s="31">
        <v>2.5</v>
      </c>
      <c r="AN15" s="13">
        <v>0.26</v>
      </c>
      <c r="AO15" s="13">
        <v>3446</v>
      </c>
      <c r="AP15" s="38">
        <f t="shared" si="0"/>
        <v>8967101724</v>
      </c>
      <c r="AQ15" s="38"/>
      <c r="AR15" s="13">
        <v>6686</v>
      </c>
      <c r="AS15" s="16">
        <v>1.30001944390434</v>
      </c>
      <c r="AT15" s="39">
        <f t="shared" si="1"/>
        <v>12200138400</v>
      </c>
      <c r="AV15" s="39">
        <f t="shared" si="2"/>
        <v>12200138400</v>
      </c>
      <c r="AX15" s="40">
        <f t="shared" si="3"/>
        <v>20333564000</v>
      </c>
      <c r="AY15" s="41">
        <v>3</v>
      </c>
      <c r="AZ15" s="40">
        <f t="shared" si="4"/>
        <v>25416955000</v>
      </c>
      <c r="BA15" s="41"/>
      <c r="BB15" s="40">
        <f t="shared" si="5"/>
        <v>30500346000</v>
      </c>
      <c r="BC15" s="41"/>
      <c r="BD15" s="7">
        <v>3</v>
      </c>
      <c r="BE15" s="51">
        <f t="shared" si="6"/>
        <v>15429</v>
      </c>
      <c r="BF15" s="52">
        <v>2.73105</v>
      </c>
      <c r="BG15" s="50"/>
      <c r="BH15" s="50"/>
    </row>
    <row r="16" spans="1:60">
      <c r="A16" s="12">
        <v>44830</v>
      </c>
      <c r="B16" s="13">
        <v>22090040</v>
      </c>
      <c r="C16" s="13" t="s">
        <v>300</v>
      </c>
      <c r="D16" s="13" t="s">
        <v>300</v>
      </c>
      <c r="E16" s="13" t="s">
        <v>111</v>
      </c>
      <c r="F16" s="13">
        <v>46</v>
      </c>
      <c r="G16" s="13">
        <v>46</v>
      </c>
      <c r="H16" s="13" t="s">
        <v>92</v>
      </c>
      <c r="I16" s="13" t="s">
        <v>293</v>
      </c>
      <c r="J16" s="13">
        <v>86</v>
      </c>
      <c r="K16" s="13">
        <v>1.65</v>
      </c>
      <c r="L16" s="16">
        <v>31.5886134067952</v>
      </c>
      <c r="M16" s="13">
        <v>86</v>
      </c>
      <c r="N16" s="13">
        <v>93</v>
      </c>
      <c r="O16" s="13">
        <v>4628</v>
      </c>
      <c r="P16" s="13" t="s">
        <v>111</v>
      </c>
      <c r="Q16" s="13">
        <v>86</v>
      </c>
      <c r="R16" s="13">
        <v>1.65</v>
      </c>
      <c r="S16" s="13">
        <v>4628</v>
      </c>
      <c r="T16" s="20">
        <v>1.50021607605877</v>
      </c>
      <c r="U16" s="13">
        <v>6943</v>
      </c>
      <c r="V16" s="13">
        <v>399</v>
      </c>
      <c r="W16" s="13">
        <v>64</v>
      </c>
      <c r="X16" s="13">
        <v>61.8</v>
      </c>
      <c r="Y16" s="13" t="s">
        <v>96</v>
      </c>
      <c r="Z16" s="13" t="s">
        <v>121</v>
      </c>
      <c r="AA16" s="13" t="s">
        <v>271</v>
      </c>
      <c r="AB16" s="13">
        <v>91.2</v>
      </c>
      <c r="AC16" s="13">
        <v>88.1</v>
      </c>
      <c r="AD16" s="13">
        <v>85</v>
      </c>
      <c r="AE16" s="13">
        <v>7.58</v>
      </c>
      <c r="AF16" s="13">
        <v>36.1</v>
      </c>
      <c r="AG16" s="16">
        <v>2.73638</v>
      </c>
      <c r="AH16" s="13">
        <v>40</v>
      </c>
      <c r="AI16" s="13">
        <v>231</v>
      </c>
      <c r="AJ16" s="13">
        <v>175.96</v>
      </c>
      <c r="AK16" s="13">
        <v>96.4</v>
      </c>
      <c r="AL16" s="16">
        <v>169.62544</v>
      </c>
      <c r="AM16" s="31">
        <v>2.4</v>
      </c>
      <c r="AN16" s="13">
        <v>0.27</v>
      </c>
      <c r="AO16" s="13">
        <v>3829</v>
      </c>
      <c r="AP16" s="38">
        <f t="shared" si="0"/>
        <v>10482852192</v>
      </c>
      <c r="AQ16" s="38"/>
      <c r="AR16" s="13">
        <v>6943</v>
      </c>
      <c r="AS16" s="16">
        <v>1.50021607605877</v>
      </c>
      <c r="AT16" s="40">
        <f t="shared" si="1"/>
        <v>20355052800</v>
      </c>
      <c r="AU16" s="41">
        <v>1.7</v>
      </c>
      <c r="AV16" s="40">
        <f t="shared" si="2"/>
        <v>20355052800</v>
      </c>
      <c r="AW16" s="41"/>
      <c r="AX16" s="39">
        <f t="shared" si="3"/>
        <v>33925088000</v>
      </c>
      <c r="AZ16" s="40">
        <f t="shared" si="4"/>
        <v>42406360000</v>
      </c>
      <c r="BA16" s="41"/>
      <c r="BB16" s="40">
        <f t="shared" si="5"/>
        <v>50887632000</v>
      </c>
      <c r="BC16" s="41"/>
      <c r="BD16" s="7">
        <v>1.7</v>
      </c>
      <c r="BE16" s="51">
        <f t="shared" si="6"/>
        <v>7867.6</v>
      </c>
      <c r="BF16" s="52">
        <v>2.73638</v>
      </c>
      <c r="BG16" s="50"/>
      <c r="BH16" s="50"/>
    </row>
    <row r="17" spans="1:60">
      <c r="A17" s="12">
        <v>44785</v>
      </c>
      <c r="B17" s="13">
        <v>22080019</v>
      </c>
      <c r="C17" s="13" t="s">
        <v>301</v>
      </c>
      <c r="D17" s="13" t="s">
        <v>301</v>
      </c>
      <c r="E17" s="13" t="s">
        <v>111</v>
      </c>
      <c r="F17" s="13">
        <v>38</v>
      </c>
      <c r="G17" s="13">
        <v>38</v>
      </c>
      <c r="H17" s="13" t="s">
        <v>92</v>
      </c>
      <c r="I17" s="13" t="s">
        <v>302</v>
      </c>
      <c r="J17" s="13">
        <v>75</v>
      </c>
      <c r="K17" s="13">
        <v>1.73</v>
      </c>
      <c r="L17" s="16">
        <v>25.0593070266297</v>
      </c>
      <c r="M17" s="13">
        <v>75</v>
      </c>
      <c r="N17" s="13">
        <v>219</v>
      </c>
      <c r="O17" s="13">
        <v>4508</v>
      </c>
      <c r="P17" s="13" t="s">
        <v>111</v>
      </c>
      <c r="Q17" s="13">
        <v>75</v>
      </c>
      <c r="R17" s="13">
        <v>1.73</v>
      </c>
      <c r="S17" s="13">
        <v>4508</v>
      </c>
      <c r="T17" s="20">
        <v>2.20008873114463</v>
      </c>
      <c r="U17" s="13">
        <v>9918</v>
      </c>
      <c r="V17" s="13">
        <v>505</v>
      </c>
      <c r="W17" s="13">
        <v>107</v>
      </c>
      <c r="X17" s="13">
        <v>103.8</v>
      </c>
      <c r="Y17" s="13" t="s">
        <v>274</v>
      </c>
      <c r="Z17" s="13" t="s">
        <v>121</v>
      </c>
      <c r="AA17" s="13" t="s">
        <v>122</v>
      </c>
      <c r="AB17" s="13">
        <v>50</v>
      </c>
      <c r="AC17" s="13">
        <v>51</v>
      </c>
      <c r="AD17" s="13">
        <v>50</v>
      </c>
      <c r="AE17" s="13">
        <v>10.25</v>
      </c>
      <c r="AF17" s="13">
        <v>27.6</v>
      </c>
      <c r="AG17" s="16">
        <v>2.829</v>
      </c>
      <c r="AH17" s="13">
        <v>37.3</v>
      </c>
      <c r="AI17" s="13">
        <v>336</v>
      </c>
      <c r="AJ17" s="13">
        <v>123.11</v>
      </c>
      <c r="AK17" s="13">
        <v>84.9</v>
      </c>
      <c r="AL17" s="16">
        <v>104.52039</v>
      </c>
      <c r="AM17" s="31">
        <v>1.6</v>
      </c>
      <c r="AN17" s="13">
        <v>0.5</v>
      </c>
      <c r="AO17" s="13">
        <v>2465</v>
      </c>
      <c r="AP17" s="38">
        <f t="shared" si="0"/>
        <v>10849216482</v>
      </c>
      <c r="AQ17" s="38"/>
      <c r="AR17" s="13">
        <v>9918</v>
      </c>
      <c r="AS17" s="16">
        <v>2.20008873114463</v>
      </c>
      <c r="AT17" s="39">
        <f t="shared" si="1"/>
        <v>12542446800</v>
      </c>
      <c r="AV17" s="39">
        <f t="shared" si="2"/>
        <v>12542446800</v>
      </c>
      <c r="AX17" s="40">
        <f t="shared" si="3"/>
        <v>20904078000</v>
      </c>
      <c r="AY17" s="41"/>
      <c r="AZ17" s="40">
        <f t="shared" si="4"/>
        <v>26130097500</v>
      </c>
      <c r="BA17" s="41"/>
      <c r="BB17" s="40">
        <f t="shared" si="5"/>
        <v>31356117000</v>
      </c>
      <c r="BC17" s="41"/>
      <c r="BE17" s="51">
        <f t="shared" si="6"/>
        <v>0</v>
      </c>
      <c r="BF17" s="52">
        <v>2.829</v>
      </c>
      <c r="BG17" s="50"/>
      <c r="BH17" s="50"/>
    </row>
    <row r="18" spans="1:61">
      <c r="A18" s="12">
        <v>44677</v>
      </c>
      <c r="B18" s="13">
        <v>22040075</v>
      </c>
      <c r="C18" s="13" t="s">
        <v>303</v>
      </c>
      <c r="D18" s="13" t="s">
        <v>303</v>
      </c>
      <c r="E18" s="13" t="s">
        <v>111</v>
      </c>
      <c r="F18" s="13">
        <v>56</v>
      </c>
      <c r="G18" s="13">
        <v>56</v>
      </c>
      <c r="H18" s="13" t="s">
        <v>92</v>
      </c>
      <c r="I18" s="13" t="s">
        <v>295</v>
      </c>
      <c r="J18" s="13">
        <v>74</v>
      </c>
      <c r="K18" s="13">
        <v>1.56</v>
      </c>
      <c r="L18" s="16">
        <v>30.4076265614727</v>
      </c>
      <c r="M18" s="13">
        <v>74</v>
      </c>
      <c r="N18" s="13">
        <v>75</v>
      </c>
      <c r="O18" s="13">
        <v>4231</v>
      </c>
      <c r="P18" s="13" t="s">
        <v>111</v>
      </c>
      <c r="Q18" s="13">
        <v>74</v>
      </c>
      <c r="R18" s="13">
        <v>1.56</v>
      </c>
      <c r="S18" s="13">
        <v>4231</v>
      </c>
      <c r="T18" s="20">
        <v>1.30016544552115</v>
      </c>
      <c r="U18" s="13">
        <v>5501</v>
      </c>
      <c r="V18" s="13">
        <v>287</v>
      </c>
      <c r="W18" s="13">
        <v>54</v>
      </c>
      <c r="X18" s="13">
        <v>53.6</v>
      </c>
      <c r="Y18" s="13" t="s">
        <v>96</v>
      </c>
      <c r="Z18" s="13" t="s">
        <v>97</v>
      </c>
      <c r="AA18" s="13" t="s">
        <v>271</v>
      </c>
      <c r="AB18" s="13">
        <v>80</v>
      </c>
      <c r="AC18" s="13">
        <v>80</v>
      </c>
      <c r="AD18" s="13">
        <v>80</v>
      </c>
      <c r="AE18" s="13">
        <v>6</v>
      </c>
      <c r="AF18" s="13">
        <v>58.5</v>
      </c>
      <c r="AG18" s="16">
        <v>3.51</v>
      </c>
      <c r="AH18" s="13">
        <v>37.6</v>
      </c>
      <c r="AI18" s="13">
        <v>249</v>
      </c>
      <c r="AJ18" s="13">
        <v>218.25</v>
      </c>
      <c r="AK18" s="13">
        <v>95.3</v>
      </c>
      <c r="AL18" s="16">
        <v>207.99225</v>
      </c>
      <c r="AM18" s="31">
        <v>5</v>
      </c>
      <c r="AN18" s="13">
        <v>0.67</v>
      </c>
      <c r="AO18" s="13">
        <v>3611</v>
      </c>
      <c r="AP18" s="38">
        <f t="shared" si="0"/>
        <v>11148384600</v>
      </c>
      <c r="AQ18" s="38"/>
      <c r="AR18" s="13">
        <v>5501</v>
      </c>
      <c r="AS18" s="16">
        <v>1.30016544552115</v>
      </c>
      <c r="AT18" s="40">
        <f t="shared" si="1"/>
        <v>24959070000</v>
      </c>
      <c r="AU18" s="41"/>
      <c r="AV18" s="40">
        <f t="shared" si="2"/>
        <v>24959070000</v>
      </c>
      <c r="AW18" s="41">
        <v>2.3</v>
      </c>
      <c r="AX18" s="40">
        <f t="shared" si="3"/>
        <v>41598450000</v>
      </c>
      <c r="AY18" s="41"/>
      <c r="AZ18" s="40">
        <f t="shared" si="4"/>
        <v>51998062500</v>
      </c>
      <c r="BA18" s="41"/>
      <c r="BB18" s="40">
        <f t="shared" si="5"/>
        <v>62397675000</v>
      </c>
      <c r="BC18" s="41"/>
      <c r="BD18" s="2">
        <v>2.3</v>
      </c>
      <c r="BE18" s="51">
        <f t="shared" si="6"/>
        <v>9731.3</v>
      </c>
      <c r="BF18" s="52">
        <v>3.51</v>
      </c>
      <c r="BG18" s="50">
        <v>10</v>
      </c>
      <c r="BH18" s="50" t="s">
        <v>304</v>
      </c>
      <c r="BI18" s="53">
        <f>MEDIAN(BE15:BE18)</f>
        <v>8799.45</v>
      </c>
    </row>
    <row r="19" spans="24:54">
      <c r="X19">
        <f>MEDIAN(X2:X18)</f>
        <v>61.8</v>
      </c>
      <c r="AP19" s="42">
        <f>MEDIAN(AP2:AP18)</f>
        <v>7091392410</v>
      </c>
      <c r="AQ19" s="42"/>
      <c r="AT19" s="39">
        <f>MEDIAN(AT2:AT18)</f>
        <v>12542446800</v>
      </c>
      <c r="AV19" s="39">
        <f>MEDIAN(AV2:AV18)</f>
        <v>12542446800</v>
      </c>
      <c r="AX19" s="39">
        <f>MEDIAN(AX2:AX18)</f>
        <v>20904078000</v>
      </c>
      <c r="AZ19" s="39">
        <f>MEDIAN(AZ2:AZ18)</f>
        <v>26130097500</v>
      </c>
      <c r="BB19" s="39">
        <f>MEDIAN(BB2:BB18)</f>
        <v>31356117000</v>
      </c>
    </row>
  </sheetData>
  <protectedRanges>
    <protectedRange algorithmName="SHA-512" hashValue="M1qYlco6JY5oG+z6r6KGKp0f7459X/7SSu//C7VOijOlLMQ62vDI7Poal+KEzy0T2PMkWZ5YCZZhEa8eyZOi/Q==" saltValue="w1edGYp+JBnqK0fApdfGbQ==" spinCount="100000" sqref="L1 T1 AL1 AG1 AS1 AU1 AW1 AY1 BA1 BF1 BC1" name="AllowSortFilter"/>
    <protectedRange algorithmName="SHA-512" hashValue="M1qYlco6JY5oG+z6r6KGKp0f7459X/7SSu//C7VOijOlLMQ62vDI7Poal+KEzy0T2PMkWZ5YCZZhEa8eyZOi/Q==" saltValue="w1edGYp+JBnqK0fApdfGbQ==" spinCount="100000" sqref="L2 T2 AL2 AG2 BF2 AS2" name="AllowSortFilter_1"/>
    <protectedRange algorithmName="SHA-512" hashValue="M1qYlco6JY5oG+z6r6KGKp0f7459X/7SSu//C7VOijOlLMQ62vDI7Poal+KEzy0T2PMkWZ5YCZZhEa8eyZOi/Q==" saltValue="w1edGYp+JBnqK0fApdfGbQ==" spinCount="100000" sqref="L3:L4 T3:T4 AL3:AL4 AG3:AG4 BF3:BF4 AS3:AS4" name="AllowSortFilter_2"/>
    <protectedRange algorithmName="SHA-512" hashValue="M1qYlco6JY5oG+z6r6KGKp0f7459X/7SSu//C7VOijOlLMQ62vDI7Poal+KEzy0T2PMkWZ5YCZZhEa8eyZOi/Q==" saltValue="w1edGYp+JBnqK0fApdfGbQ==" spinCount="100000" sqref="L5:L6 T5:T6 AL5:AL6 AG5:AG6 BF5:BF6 AS5:AS6" name="AllowSortFilter_3"/>
    <protectedRange algorithmName="SHA-512" hashValue="M1qYlco6JY5oG+z6r6KGKp0f7459X/7SSu//C7VOijOlLMQ62vDI7Poal+KEzy0T2PMkWZ5YCZZhEa8eyZOi/Q==" saltValue="w1edGYp+JBnqK0fApdfGbQ==" spinCount="100000" sqref="L7 T7 AL7 AG7 BF7 AS7" name="AllowSortFilter_4"/>
    <protectedRange algorithmName="SHA-512" hashValue="M1qYlco6JY5oG+z6r6KGKp0f7459X/7SSu//C7VOijOlLMQ62vDI7Poal+KEzy0T2PMkWZ5YCZZhEa8eyZOi/Q==" saltValue="w1edGYp+JBnqK0fApdfGbQ==" spinCount="100000" sqref="L8 T8 AL8 AG8 BF8 AS8" name="AllowSortFilter_5"/>
    <protectedRange algorithmName="SHA-512" hashValue="M1qYlco6JY5oG+z6r6KGKp0f7459X/7SSu//C7VOijOlLMQ62vDI7Poal+KEzy0T2PMkWZ5YCZZhEa8eyZOi/Q==" saltValue="w1edGYp+JBnqK0fApdfGbQ==" spinCount="100000" sqref="L9 T9 AL9 AG9 BF9 AS9" name="AllowSortFilter_6"/>
    <protectedRange algorithmName="SHA-512" hashValue="M1qYlco6JY5oG+z6r6KGKp0f7459X/7SSu//C7VOijOlLMQ62vDI7Poal+KEzy0T2PMkWZ5YCZZhEa8eyZOi/Q==" saltValue="w1edGYp+JBnqK0fApdfGbQ==" spinCount="100000" sqref="L10 T10 AL10 AG10 BF10 AS10" name="AllowSortFilter_7"/>
    <protectedRange algorithmName="SHA-512" hashValue="M1qYlco6JY5oG+z6r6KGKp0f7459X/7SSu//C7VOijOlLMQ62vDI7Poal+KEzy0T2PMkWZ5YCZZhEa8eyZOi/Q==" saltValue="w1edGYp+JBnqK0fApdfGbQ==" spinCount="100000" sqref="L11 T11 AL11 AG11 BF11 AS11" name="AllowSortFilter_8"/>
    <protectedRange algorithmName="SHA-512" hashValue="M1qYlco6JY5oG+z6r6KGKp0f7459X/7SSu//C7VOijOlLMQ62vDI7Poal+KEzy0T2PMkWZ5YCZZhEa8eyZOi/Q==" saltValue="w1edGYp+JBnqK0fApdfGbQ==" spinCount="100000" sqref="L12 T12 AL12 AG12 BF12 AS12" name="AllowSortFilter_9"/>
    <protectedRange algorithmName="SHA-512" hashValue="M1qYlco6JY5oG+z6r6KGKp0f7459X/7SSu//C7VOijOlLMQ62vDI7Poal+KEzy0T2PMkWZ5YCZZhEa8eyZOi/Q==" saltValue="w1edGYp+JBnqK0fApdfGbQ==" spinCount="100000" sqref="L13:L15 T13:T15 AL13:AL15 AG13:AG15 BF13:BF15 AS13:AS15" name="AllowSortFilter_10"/>
    <protectedRange algorithmName="SHA-512" hashValue="M1qYlco6JY5oG+z6r6KGKp0f7459X/7SSu//C7VOijOlLMQ62vDI7Poal+KEzy0T2PMkWZ5YCZZhEa8eyZOi/Q==" saltValue="w1edGYp+JBnqK0fApdfGbQ==" spinCount="100000" sqref="L16:L17 T16:T17 AL16:AL17 AG16:AG17 BF16:BF17 AS16:AS17" name="AllowSortFilter_11"/>
    <protectedRange algorithmName="SHA-512" hashValue="M1qYlco6JY5oG+z6r6KGKp0f7459X/7SSu//C7VOijOlLMQ62vDI7Poal+KEzy0T2PMkWZ5YCZZhEa8eyZOi/Q==" saltValue="w1edGYp+JBnqK0fApdfGbQ==" spinCount="100000" sqref="L18 T18 AL18 AG18 BF18 AS18" name="AllowSortFilter_12"/>
  </protectedRanges>
  <autoFilter xmlns:etc="http://www.wps.cn/officeDocument/2017/etCustomData" ref="A1:BG19" etc:filterBottomFollowUsedRange="0">
    <sortState ref="A1:BG19">
      <sortCondition ref="BF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2"/>
  <sheetViews>
    <sheetView tabSelected="1" topLeftCell="A139" workbookViewId="0">
      <selection activeCell="C152" sqref="C152"/>
    </sheetView>
  </sheetViews>
  <sheetFormatPr defaultColWidth="11.4285714285714" defaultRowHeight="15" outlineLevelCol="7"/>
  <cols>
    <col min="1" max="1" width="19.4285714285714" customWidth="1"/>
    <col min="2" max="2" width="11.8571428571429" customWidth="1"/>
  </cols>
  <sheetData>
    <row r="1" spans="2:2">
      <c r="B1" s="1" t="s">
        <v>181</v>
      </c>
    </row>
    <row r="2" spans="1:2">
      <c r="A2" t="s">
        <v>305</v>
      </c>
      <c r="B2">
        <v>96</v>
      </c>
    </row>
    <row r="3" spans="1:2">
      <c r="A3" t="s">
        <v>306</v>
      </c>
      <c r="B3">
        <v>59</v>
      </c>
    </row>
    <row r="4" spans="1:2">
      <c r="A4" t="s">
        <v>307</v>
      </c>
      <c r="B4">
        <f>SUM(B2:B3)</f>
        <v>155</v>
      </c>
    </row>
    <row r="7" spans="1:2">
      <c r="A7" t="s">
        <v>182</v>
      </c>
      <c r="B7">
        <v>97</v>
      </c>
    </row>
    <row r="8" spans="1:2">
      <c r="A8" t="s">
        <v>183</v>
      </c>
      <c r="B8">
        <v>16</v>
      </c>
    </row>
    <row r="9" spans="1:2">
      <c r="A9" t="s">
        <v>184</v>
      </c>
      <c r="B9">
        <v>42</v>
      </c>
    </row>
    <row r="10" spans="2:2">
      <c r="B10">
        <f>SUM(B7:B9)</f>
        <v>155</v>
      </c>
    </row>
    <row r="33" spans="2:2">
      <c r="B33" t="s">
        <v>185</v>
      </c>
    </row>
    <row r="34" spans="1:2">
      <c r="A34" t="s">
        <v>308</v>
      </c>
      <c r="B34">
        <v>12</v>
      </c>
    </row>
    <row r="35" spans="1:2">
      <c r="A35" t="s">
        <v>309</v>
      </c>
      <c r="B35">
        <v>143</v>
      </c>
    </row>
    <row r="36" spans="2:2">
      <c r="B36">
        <f>SUM(B34:B35)</f>
        <v>155</v>
      </c>
    </row>
    <row r="49" spans="2:2">
      <c r="B49" t="s">
        <v>188</v>
      </c>
    </row>
    <row r="50" spans="1:2">
      <c r="A50" t="s">
        <v>310</v>
      </c>
      <c r="B50">
        <v>152</v>
      </c>
    </row>
    <row r="51" spans="1:2">
      <c r="A51" t="s">
        <v>311</v>
      </c>
      <c r="B51">
        <v>3</v>
      </c>
    </row>
    <row r="52" spans="2:2">
      <c r="B52">
        <f>SUM(B50:B51)</f>
        <v>155</v>
      </c>
    </row>
    <row r="64" spans="2:2">
      <c r="B64" t="s">
        <v>191</v>
      </c>
    </row>
    <row r="65" spans="1:2">
      <c r="A65" t="s">
        <v>98</v>
      </c>
      <c r="B65">
        <v>114</v>
      </c>
    </row>
    <row r="66" spans="1:2">
      <c r="A66" t="s">
        <v>122</v>
      </c>
      <c r="B66">
        <v>38</v>
      </c>
    </row>
    <row r="67" spans="2:2">
      <c r="B67">
        <f>SUM(B65:B66)</f>
        <v>152</v>
      </c>
    </row>
    <row r="79" spans="2:2">
      <c r="B79" s="1" t="s">
        <v>192</v>
      </c>
    </row>
    <row r="80" spans="1:2">
      <c r="A80">
        <v>2015</v>
      </c>
      <c r="B80">
        <v>63</v>
      </c>
    </row>
    <row r="81" spans="1:2">
      <c r="A81">
        <v>2016</v>
      </c>
      <c r="B81">
        <v>120</v>
      </c>
    </row>
    <row r="82" spans="1:2">
      <c r="A82">
        <v>2017</v>
      </c>
      <c r="B82">
        <v>191</v>
      </c>
    </row>
    <row r="83" spans="1:2">
      <c r="A83">
        <v>2018</v>
      </c>
      <c r="B83">
        <v>109</v>
      </c>
    </row>
    <row r="84" spans="1:2">
      <c r="A84">
        <v>2019</v>
      </c>
      <c r="B84">
        <v>122</v>
      </c>
    </row>
    <row r="85" spans="1:2">
      <c r="A85">
        <v>2020</v>
      </c>
      <c r="B85">
        <v>156</v>
      </c>
    </row>
    <row r="86" spans="1:2">
      <c r="A86">
        <v>2021</v>
      </c>
      <c r="B86">
        <v>172</v>
      </c>
    </row>
    <row r="87" spans="1:2">
      <c r="A87">
        <v>2022</v>
      </c>
      <c r="B87">
        <v>199</v>
      </c>
    </row>
    <row r="88" spans="1:2">
      <c r="A88">
        <v>2023</v>
      </c>
      <c r="B88">
        <v>155</v>
      </c>
    </row>
    <row r="97" spans="2:2">
      <c r="B97" t="s">
        <v>312</v>
      </c>
    </row>
    <row r="98" spans="1:2">
      <c r="A98" t="s">
        <v>313</v>
      </c>
      <c r="B98">
        <v>2</v>
      </c>
    </row>
    <row r="99" spans="1:2">
      <c r="A99" t="s">
        <v>244</v>
      </c>
      <c r="B99">
        <v>5</v>
      </c>
    </row>
    <row r="100" spans="1:2">
      <c r="A100" t="s">
        <v>314</v>
      </c>
      <c r="B100">
        <v>5</v>
      </c>
    </row>
    <row r="111" spans="2:2">
      <c r="B111" t="s">
        <v>315</v>
      </c>
    </row>
    <row r="112" spans="1:1">
      <c r="A112" t="s">
        <v>316</v>
      </c>
    </row>
    <row r="113" spans="1:1">
      <c r="A113" t="s">
        <v>317</v>
      </c>
    </row>
    <row r="114" spans="2:2">
      <c r="B114">
        <f>SUM(B112:B113)</f>
        <v>0</v>
      </c>
    </row>
    <row r="128" spans="2:8">
      <c r="B128" s="2" t="s">
        <v>92</v>
      </c>
      <c r="C128" s="2" t="s">
        <v>120</v>
      </c>
      <c r="D128" s="2" t="s">
        <v>124</v>
      </c>
      <c r="E128" s="3" t="s">
        <v>193</v>
      </c>
      <c r="H128" s="2"/>
    </row>
    <row r="129" spans="1:8">
      <c r="A129" s="4" t="s">
        <v>194</v>
      </c>
      <c r="B129" s="2">
        <v>10</v>
      </c>
      <c r="C129" s="2">
        <v>1</v>
      </c>
      <c r="D129" s="2">
        <v>3</v>
      </c>
      <c r="E129" s="3">
        <f t="shared" ref="E129:E140" si="0">SUM(B129:D129)</f>
        <v>14</v>
      </c>
      <c r="H129" s="2"/>
    </row>
    <row r="130" spans="1:8">
      <c r="A130" s="4" t="s">
        <v>195</v>
      </c>
      <c r="B130" s="2">
        <v>13</v>
      </c>
      <c r="C130" s="2">
        <v>2</v>
      </c>
      <c r="D130" s="2">
        <v>0</v>
      </c>
      <c r="E130" s="3">
        <f t="shared" si="0"/>
        <v>15</v>
      </c>
      <c r="H130" s="2"/>
    </row>
    <row r="131" spans="1:5">
      <c r="A131" s="4" t="s">
        <v>196</v>
      </c>
      <c r="B131" s="2">
        <v>14</v>
      </c>
      <c r="C131" s="2">
        <v>1</v>
      </c>
      <c r="D131" s="2">
        <v>6</v>
      </c>
      <c r="E131" s="3">
        <f t="shared" si="0"/>
        <v>21</v>
      </c>
    </row>
    <row r="132" spans="1:5">
      <c r="A132" s="4" t="s">
        <v>197</v>
      </c>
      <c r="B132" s="2">
        <v>8</v>
      </c>
      <c r="C132" s="2">
        <v>1</v>
      </c>
      <c r="D132" s="2">
        <v>5</v>
      </c>
      <c r="E132" s="3">
        <f t="shared" si="0"/>
        <v>14</v>
      </c>
    </row>
    <row r="133" spans="1:5">
      <c r="A133" s="4" t="s">
        <v>198</v>
      </c>
      <c r="B133" s="2">
        <v>5</v>
      </c>
      <c r="C133" s="2">
        <v>1</v>
      </c>
      <c r="D133" s="2">
        <v>1</v>
      </c>
      <c r="E133" s="3">
        <f t="shared" si="0"/>
        <v>7</v>
      </c>
    </row>
    <row r="134" spans="1:5">
      <c r="A134" s="4" t="s">
        <v>199</v>
      </c>
      <c r="B134" s="2">
        <v>11</v>
      </c>
      <c r="C134" s="2">
        <v>2</v>
      </c>
      <c r="D134" s="2">
        <v>6</v>
      </c>
      <c r="E134" s="3">
        <f t="shared" si="0"/>
        <v>19</v>
      </c>
    </row>
    <row r="135" spans="1:5">
      <c r="A135" s="4" t="s">
        <v>200</v>
      </c>
      <c r="B135" s="2">
        <v>8</v>
      </c>
      <c r="C135" s="2">
        <v>1</v>
      </c>
      <c r="D135" s="2">
        <v>2</v>
      </c>
      <c r="E135" s="3">
        <f t="shared" si="0"/>
        <v>11</v>
      </c>
    </row>
    <row r="136" spans="1:5">
      <c r="A136" s="4" t="s">
        <v>201</v>
      </c>
      <c r="B136" s="2">
        <v>9</v>
      </c>
      <c r="C136" s="2">
        <v>2</v>
      </c>
      <c r="D136" s="2">
        <v>4</v>
      </c>
      <c r="E136" s="3">
        <f t="shared" si="0"/>
        <v>15</v>
      </c>
    </row>
    <row r="137" spans="1:5">
      <c r="A137" s="4" t="s">
        <v>202</v>
      </c>
      <c r="B137" s="2">
        <v>6</v>
      </c>
      <c r="C137" s="2">
        <v>2</v>
      </c>
      <c r="D137" s="2">
        <v>3</v>
      </c>
      <c r="E137" s="3">
        <f t="shared" si="0"/>
        <v>11</v>
      </c>
    </row>
    <row r="138" spans="1:5">
      <c r="A138" s="4" t="s">
        <v>203</v>
      </c>
      <c r="B138" s="2">
        <v>3</v>
      </c>
      <c r="C138" s="2">
        <v>0</v>
      </c>
      <c r="D138" s="2">
        <v>2</v>
      </c>
      <c r="E138" s="3">
        <f t="shared" si="0"/>
        <v>5</v>
      </c>
    </row>
    <row r="139" spans="1:5">
      <c r="A139" s="4" t="s">
        <v>204</v>
      </c>
      <c r="B139" s="2">
        <v>5</v>
      </c>
      <c r="C139" s="2">
        <v>3</v>
      </c>
      <c r="D139" s="2">
        <v>3</v>
      </c>
      <c r="E139" s="3">
        <f t="shared" si="0"/>
        <v>11</v>
      </c>
    </row>
    <row r="140" spans="1:5">
      <c r="A140" s="4" t="s">
        <v>205</v>
      </c>
      <c r="B140" s="2">
        <v>5</v>
      </c>
      <c r="C140" s="2">
        <v>0</v>
      </c>
      <c r="D140" s="2">
        <v>7</v>
      </c>
      <c r="E140" s="3">
        <f t="shared" si="0"/>
        <v>12</v>
      </c>
    </row>
    <row r="141" spans="5:5">
      <c r="E141" s="3"/>
    </row>
    <row r="142" spans="5:5">
      <c r="E142" s="5">
        <f>SUM(E129:E141)</f>
        <v>155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F20" sqref="F20"/>
    </sheetView>
  </sheetViews>
  <sheetFormatPr defaultColWidth="11.4285714285714" defaultRowHeight="15" outlineLevelCol="1"/>
  <cols>
    <col min="1" max="1" width="16" customWidth="1"/>
  </cols>
  <sheetData>
    <row r="1" spans="1:2">
      <c r="A1" t="s">
        <v>318</v>
      </c>
      <c r="B1" t="s">
        <v>319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AllowSortFilter" rangeCreator="" othersAccessPermission="edit"/>
    <arrUserId title="AllowSortFilter_1" rangeCreator="" othersAccessPermission="edit"/>
    <arrUserId title="AllowSortFilter_1_1" rangeCreator="" othersAccessPermission="edit"/>
  </rangeList>
  <rangeList sheetStid="15" master="" otherUserPermission="visible"/>
  <rangeList sheetStid="14" master="" otherUserPermission="visible">
    <arrUserId title="AllowSortFilter" rangeCreator="" othersAccessPermission="edit"/>
    <arrUserId title="AllowSortFilter_1" rangeCreator="" othersAccessPermission="edit"/>
    <arrUserId title="AllowSortFilter_2" rangeCreator="" othersAccessPermission="edit"/>
    <arrUserId title="AllowSortFilter_3" rangeCreator="" othersAccessPermission="edit"/>
    <arrUserId title="AllowSortFilter_4" rangeCreator="" othersAccessPermission="edit"/>
    <arrUserId title="AllowSortFilter_5" rangeCreator="" othersAccessPermission="edit"/>
    <arrUserId title="AllowSortFilter_6" rangeCreator="" othersAccessPermission="edit"/>
    <arrUserId title="AllowSortFilter_7" rangeCreator="" othersAccessPermission="edit"/>
    <arrUserId title="AllowSortFilter_8" rangeCreator="" othersAccessPermission="edit"/>
    <arrUserId title="AllowSortFilter_9" rangeCreator="" othersAccessPermission="edit"/>
    <arrUserId title="AllowSortFilter_10" rangeCreator="" othersAccessPermission="edit"/>
    <arrUserId title="AllowSortFilter_11" rangeCreator="" othersAccessPermission="edit"/>
    <arrUserId title="AllowSortFilter_12" rangeCreator="" othersAccessPermission="edit"/>
    <arrUserId title="AllowSortFilter_13" rangeCreator="" othersAccessPermission="edit"/>
    <arrUserId title="AllowSortFilter_14" rangeCreator="" othersAccessPermission="edit"/>
    <arrUserId title="AllowSortFilter_15" rangeCreator="" othersAccessPermission="edit"/>
    <arrUserId title="AllowSortFilter_16" rangeCreator="" othersAccessPermission="edit"/>
    <arrUserId title="AllowSortFilter_17" rangeCreator="" othersAccessPermission="edit"/>
    <arrUserId title="AllowSortFilter_18" rangeCreator="" othersAccessPermission="edit"/>
    <arrUserId title="AllowSortFilter_19" rangeCreator="" othersAccessPermission="edit"/>
    <arrUserId title="AllowSortFilter_20" rangeCreator="" othersAccessPermission="edit"/>
    <arrUserId title="AllowSortFilter_21" rangeCreator="" othersAccessPermission="edit"/>
    <arrUserId title="AllowSortFilter_22" rangeCreator="" othersAccessPermission="edit"/>
    <arrUserId title="AllowSortFilter_23" rangeCreator="" othersAccessPermission="edit"/>
    <arrUserId title="AllowSortFilter_24" rangeCreator="" othersAccessPermission="edit"/>
    <arrUserId title="AllowSortFilter_25" rangeCreator="" othersAccessPermission="edit"/>
    <arrUserId title="AllowSortFilter_26" rangeCreator="" othersAccessPermission="edit"/>
    <arrUserId title="AllowSortFilter_27" rangeCreator="" othersAccessPermission="edit"/>
    <arrUserId title="AllowSortFilter_28" rangeCreator="" othersAccessPermission="edit"/>
    <arrUserId title="AllowSortFilter_29" rangeCreator="" othersAccessPermission="edit"/>
    <arrUserId title="AllowSortFilter_30" rangeCreator="" othersAccessPermission="edit"/>
    <arrUserId title="AllowSortFilter_31" rangeCreator="" othersAccessPermission="edit"/>
    <arrUserId title="AllowSortFilter_32" rangeCreator="" othersAccessPermission="edit"/>
    <arrUserId title="AllowSortFilter_33" rangeCreator="" othersAccessPermission="edit"/>
    <arrUserId title="AllowSortFilter_34" rangeCreator="" othersAccessPermission="edit"/>
    <arrUserId title="AllowSortFilter_35" rangeCreator="" othersAccessPermission="edit"/>
    <arrUserId title="AllowSortFilter_36" rangeCreator="" othersAccessPermission="edit"/>
    <arrUserId title="AllowSortFilter_37" rangeCreator="" othersAccessPermission="edit"/>
    <arrUserId title="AllowSortFilter_38" rangeCreator="" othersAccessPermission="edit"/>
    <arrUserId title="AllowSortFilter_39" rangeCreator="" othersAccessPermission="edit"/>
    <arrUserId title="AllowSortFilter_40" rangeCreator="" othersAccessPermission="edit"/>
    <arrUserId title="AllowSortFilter_41" rangeCreator="" othersAccessPermission="edit"/>
    <arrUserId title="AllowSortFilter_42" rangeCreator="" othersAccessPermission="edit"/>
    <arrUserId title="AllowSortFilter_43" rangeCreator="" othersAccessPermission="edit"/>
    <arrUserId title="AllowSortFilter_44" rangeCreator="" othersAccessPermission="edit"/>
    <arrUserId title="AllowSortFilter_45" rangeCreator="" othersAccessPermission="edit"/>
    <arrUserId title="AllowSortFilter_46" rangeCreator="" othersAccessPermission="edit"/>
    <arrUserId title="AllowSortFilter_47" rangeCreator="" othersAccessPermission="edit"/>
    <arrUserId title="AllowSortFilter_48" rangeCreator="" othersAccessPermission="edit"/>
    <arrUserId title="AllowSortFilter_49" rangeCreator="" othersAccessPermission="edit"/>
    <arrUserId title="AllowSortFilter_50" rangeCreator="" othersAccessPermission="edit"/>
    <arrUserId title="AllowSortFilter_51" rangeCreator="" othersAccessPermission="edit"/>
    <arrUserId title="AllowSortFilter_52" rangeCreator="" othersAccessPermission="edit"/>
    <arrUserId title="AllowSortFilter_53" rangeCreator="" othersAccessPermission="edit"/>
    <arrUserId title="AllowSortFilter_54" rangeCreator="" othersAccessPermission="edit"/>
    <arrUserId title="AllowSortFilter_55" rangeCreator="" othersAccessPermission="edit"/>
  </rangeList>
  <rangeList sheetStid="6" master="" otherUserPermission="visible"/>
  <rangeList sheetStid="2" master="" otherUserPermission="visible"/>
  <rangeList sheetStid="10" master="" otherUserPermission="visible">
    <arrUserId title="AllowSortFilter" rangeCreator="" othersAccessPermission="edit"/>
    <arrUserId title="AllowSortFilter_1" rangeCreator="" othersAccessPermission="edit"/>
    <arrUserId title="AllowSortFilter_2" rangeCreator="" othersAccessPermission="edit"/>
    <arrUserId title="AllowSortFilter_3" rangeCreator="" othersAccessPermission="edit"/>
    <arrUserId title="AllowSortFilter_4" rangeCreator="" othersAccessPermission="edit"/>
    <arrUserId title="AllowSortFilter_5" rangeCreator="" othersAccessPermission="edit"/>
    <arrUserId title="AllowSortFilter_6" rangeCreator="" othersAccessPermission="edit"/>
    <arrUserId title="AllowSortFilter_7" rangeCreator="" othersAccessPermission="edit"/>
    <arrUserId title="AllowSortFilter_8" rangeCreator="" othersAccessPermission="edit"/>
    <arrUserId title="AllowSortFilter_9" rangeCreator="" othersAccessPermission="edit"/>
    <arrUserId title="AllowSortFilter_10" rangeCreator="" othersAccessPermission="edit"/>
    <arrUserId title="AllowSortFilter_11" rangeCreator="" othersAccessPermission="edit"/>
    <arrUserId title="AllowSortFilter_12" rangeCreator="" othersAccessPermission="edit"/>
  </rangeList>
  <rangeList sheetStid="13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Hoja1</vt:lpstr>
      <vt:lpstr>carpeta </vt:lpstr>
      <vt:lpstr>R. TRIMESTRAL</vt:lpstr>
      <vt:lpstr>ESTADÍSTICA FACT</vt:lpstr>
      <vt:lpstr>OTROS</vt:lpstr>
      <vt:lpstr>H. CENTRA</vt:lpstr>
      <vt:lpstr>ESTADÍSTICA GRAL</vt:lpstr>
      <vt:lpstr>CPH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Dra. Paula Cordero</cp:lastModifiedBy>
  <dcterms:created xsi:type="dcterms:W3CDTF">2021-01-25T16:34:00Z</dcterms:created>
  <dcterms:modified xsi:type="dcterms:W3CDTF">2026-03-12T22:28:00Z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43526C55AC8A46468A59BD34E4C5EA01_13</vt:lpwstr>
  </property>
  <property fmtid="{D5CDD505-2E9C-101B-9397-08002B2CF9AE}" pid="3" name="KSOProductBuildVer">
    <vt:lpwstr>3082-12.2.0.23196</vt:lpwstr>
  </property>
</Properties>
</file>